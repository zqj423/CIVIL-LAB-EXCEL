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40c9c3f3d39c4311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/>
  <bookViews>
    <workbookView xWindow="0" yWindow="0" windowWidth="28800" windowHeight="12300" firstSheet="3" activeTab="3"/>
  </bookViews>
  <sheets>
    <sheet name="CL_TABELS" sheetId="7" state="hidden" r:id="rId1"/>
    <sheet name="CL_drawing" sheetId="11" state="hidden" r:id="rId2"/>
    <sheet name="Mainpage" sheetId="9" state="hidden" r:id="rId3"/>
    <sheet name="Effective stiffness" sheetId="19" r:id="rId4"/>
    <sheet name="_IntelliSense_" sheetId="2" state="hidden" r:id="rId5"/>
  </sheets>
  <functionGroups builtInGroupCount="18"/>
  <definedNames>
    <definedName name="A">#REF!</definedName>
    <definedName name="Aa">#REF!</definedName>
    <definedName name="Ac">#REF!</definedName>
    <definedName name="b">#REF!</definedName>
    <definedName name="bc">#REF!</definedName>
    <definedName name="cc_2" localSheetId="0">CL_TABELS!$Z$36:$AD$67</definedName>
    <definedName name="CL_Ea">210000</definedName>
    <definedName name="cm" localSheetId="0">200</definedName>
    <definedName name="cm²" localSheetId="0">40000</definedName>
    <definedName name="cm³" localSheetId="0">8000000</definedName>
    <definedName name="cm⁴" localSheetId="0">1600000000</definedName>
    <definedName name="Concrete_JGJ">#REF!</definedName>
    <definedName name="cov" localSheetId="0">CL_TABELS!$AH$75</definedName>
    <definedName name="Ea">#REF!</definedName>
    <definedName name="Ea_JGJ">#REF!</definedName>
    <definedName name="Ecm">#REF!</definedName>
    <definedName name="Ecm_JGJ">#REF!</definedName>
    <definedName name="Es">#REF!</definedName>
    <definedName name="Es_JGJ">#REF!</definedName>
    <definedName name="fad">#REF!</definedName>
    <definedName name="fad_JGJ">#REF!</definedName>
    <definedName name="fak">#REF!</definedName>
    <definedName name="fak_JGJ">#REF!</definedName>
    <definedName name="fcd">#REF!</definedName>
    <definedName name="fcd_JGJ">#REF!</definedName>
    <definedName name="fck">#REF!</definedName>
    <definedName name="fck_JGJ">#REF!</definedName>
    <definedName name="fy">#REF!</definedName>
    <definedName name="fyd_JGJ">#REF!</definedName>
    <definedName name="fyk_JGJ">#REF!</definedName>
    <definedName name="Greekletter_Table" localSheetId="0">CL_TABELS!$Y$103:$AZ$104</definedName>
    <definedName name="h">#REF!</definedName>
    <definedName name="hc">#REF!</definedName>
    <definedName name="Iy">#REF!</definedName>
    <definedName name="Iy_a">#REF!</definedName>
    <definedName name="Iy_c">#REF!</definedName>
    <definedName name="Iz">#REF!</definedName>
    <definedName name="Iz_a">#REF!</definedName>
    <definedName name="Iz_c">#REF!</definedName>
    <definedName name="kN" localSheetId="0">3000</definedName>
    <definedName name="kNm" localSheetId="0">CL_TABELS!kN*CL_TABELS!m</definedName>
    <definedName name="KNmm" localSheetId="0">6000000</definedName>
    <definedName name="L">#REF!</definedName>
    <definedName name="m" localSheetId="0">2</definedName>
    <definedName name="m²" localSheetId="0">4</definedName>
    <definedName name="m³" localSheetId="0">8</definedName>
    <definedName name="m⁴" localSheetId="0">16</definedName>
    <definedName name="mm" localSheetId="0">2000</definedName>
    <definedName name="mm²" localSheetId="0">4000000</definedName>
    <definedName name="mm³" localSheetId="0">8000000000</definedName>
    <definedName name="mm⁴" localSheetId="0">16000000000000</definedName>
    <definedName name="Mpa" localSheetId="0">0.00000075</definedName>
    <definedName name="N" localSheetId="0">3</definedName>
    <definedName name="N_cr">#REF!</definedName>
    <definedName name="N_Pl_Rd">#REF!</definedName>
    <definedName name="Nm">6</definedName>
    <definedName name="Nmm" localSheetId="0">6000</definedName>
    <definedName name="pa" localSheetId="0">0.75</definedName>
    <definedName name="Steel_table_JGJ">#REF!</definedName>
    <definedName name="t">#REF!</definedName>
    <definedName name="u_ck" localSheetId="0">CL_TABELS!$AH$76</definedName>
    <definedName name="U_From" localSheetId="0">CL_TABELS!$AF$75</definedName>
    <definedName name="U_to" localSheetId="0">CL_TABELS!$AG$75</definedName>
    <definedName name="Uc">#REF!</definedName>
    <definedName name="Wely">#REF!</definedName>
    <definedName name="Wely_a">#REF!</definedName>
    <definedName name="wely_c">#REF!</definedName>
    <definedName name="Welz">#REF!</definedName>
    <definedName name="Welz_a">#REF!</definedName>
    <definedName name="welz_c">#REF!</definedName>
    <definedName name="Wply">#REF!</definedName>
    <definedName name="Wply_a">#REF!</definedName>
    <definedName name="wply_c">#REF!</definedName>
    <definedName name="Wplz">#REF!</definedName>
    <definedName name="Wplz_a">#REF!</definedName>
    <definedName name="Wplz_c">#REF!</definedName>
    <definedName name="δ">#REF!</definedName>
    <definedName name="ρs">#REF!</definedName>
    <definedName name="ϕ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6" i="19" l="1"/>
  <c r="M15" i="19"/>
  <c r="M12" i="19"/>
  <c r="L18" i="19"/>
  <c r="M18" i="19"/>
  <c r="K18" i="19"/>
  <c r="G24" i="19"/>
  <c r="J25" i="19"/>
  <c r="J28" i="19"/>
  <c r="J18" i="19" l="1"/>
  <c r="L15" i="19"/>
  <c r="K15" i="19"/>
  <c r="J15" i="19"/>
  <c r="K12" i="19"/>
  <c r="L12" i="19"/>
  <c r="D26" i="19" s="1"/>
  <c r="E28" i="19"/>
  <c r="AG75" i="7" l="1"/>
  <c r="AF75" i="7"/>
  <c r="J12" i="19"/>
  <c r="E31" i="19"/>
  <c r="M22" i="19"/>
  <c r="M24" i="19" l="1"/>
  <c r="AH75" i="7"/>
  <c r="AH76" i="7" s="1"/>
  <c r="J27" i="19"/>
  <c r="J26" i="19"/>
  <c r="AO11" i="7" l="1"/>
  <c r="AO12" i="7"/>
  <c r="AO13" i="7"/>
  <c r="AO14" i="7"/>
  <c r="AO15" i="7"/>
  <c r="AO16" i="7"/>
  <c r="AO17" i="7"/>
  <c r="AO18" i="7"/>
  <c r="AO19" i="7"/>
  <c r="AO20" i="7"/>
  <c r="AO21" i="7"/>
  <c r="AO22" i="7"/>
  <c r="AO23" i="7"/>
  <c r="AO10" i="7"/>
</calcChain>
</file>

<file path=xl/connections.xml><?xml version="1.0" encoding="utf-8"?>
<connections xmlns="http://schemas.openxmlformats.org/spreadsheetml/2006/main">
  <connection id="1" name="cc2" type="6" refreshedVersion="6" background="1" saveData="1">
    <textPr sourceFile="D:\user\Desktop\cc.txt" tab="0" space="1" consecutive="1">
      <textFields count="5"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<sst xmlns="http://schemas.openxmlformats.org/spreadsheetml/2006/main" count="1092" uniqueCount="631">
  <si>
    <t>span length middle span or cantilever beam end length</t>
  </si>
  <si>
    <t>L2</t>
  </si>
  <si>
    <t>span length end span</t>
  </si>
  <si>
    <t>L1</t>
  </si>
  <si>
    <t xml:space="preserve">parameter for location    1: end span; 2 middle support(L2 needed); 3 middle span; </t>
  </si>
  <si>
    <t>Location</t>
  </si>
  <si>
    <t>calculation of effective length by JGJ138-2016</t>
  </si>
  <si>
    <t>span length another side or cantilever beam end length</t>
  </si>
  <si>
    <t>span length one side</t>
  </si>
  <si>
    <t>parameter for location    1: end span; 2 middle support(L2 needed); 3 middle span; 4 end support with short cantilever beam end (L2 needed)</t>
  </si>
  <si>
    <t>calculation of effective length by EN1994</t>
  </si>
  <si>
    <t>approximate distance between points of zero bending moment</t>
  </si>
  <si>
    <t>L_e</t>
  </si>
  <si>
    <t>half clear distance of steel upper flanges  of adjecent beam</t>
  </si>
  <si>
    <t>b_2</t>
  </si>
  <si>
    <t>half clear distance of steel upper flanges of adjecent beam (taken whole distance for outside beams)</t>
  </si>
  <si>
    <t>b_1</t>
  </si>
  <si>
    <t>width of steel upper flange</t>
  </si>
  <si>
    <t>b_0</t>
  </si>
  <si>
    <t>calculation of effective width by JGJ138-2016</t>
  </si>
  <si>
    <t>0- end span     1-middle span</t>
  </si>
  <si>
    <t>is_Middle_Span</t>
  </si>
  <si>
    <t>half distance of shear studs to nearby shear studs on adjecent beam</t>
  </si>
  <si>
    <t xml:space="preserve">half of distance of shear studs to nearby shear studs on adjecent beam </t>
  </si>
  <si>
    <t>distance between the centres of the outstand shear connectors</t>
  </si>
  <si>
    <t>calculate effective width on  based on EN1994</t>
  </si>
  <si>
    <t>width of beam  (m)</t>
  </si>
  <si>
    <t>b_w</t>
  </si>
  <si>
    <t>effective length of beam  (m)</t>
  </si>
  <si>
    <t>l_0</t>
  </si>
  <si>
    <t>half clear distance of side 2 (m)</t>
  </si>
  <si>
    <t>half clear distance of side1 (m)</t>
  </si>
  <si>
    <t>calculate effective width on  based on EN1992</t>
  </si>
  <si>
    <t>effective height of beam  (m)</t>
  </si>
  <si>
    <t>h_0</t>
  </si>
  <si>
    <t>thickness of flange  (m)</t>
  </si>
  <si>
    <t>h_f</t>
  </si>
  <si>
    <t>clear distance between beam  (m)</t>
  </si>
  <si>
    <t>sn</t>
  </si>
  <si>
    <t>b</t>
  </si>
  <si>
    <t>calculate effective width on  based on GB50010</t>
  </si>
  <si>
    <t>half clear distance of nearby beam (m)</t>
  </si>
  <si>
    <t>calculate effective width on one side based on Eurocode 2</t>
  </si>
  <si>
    <t>beffi</t>
  </si>
  <si>
    <t>FunctionInfo</t>
  </si>
  <si>
    <t>x</t>
  </si>
  <si>
    <t>values to be find</t>
  </si>
  <si>
    <t>Row of the results</t>
  </si>
  <si>
    <t>Row of inputs</t>
  </si>
  <si>
    <t>List1</t>
  </si>
  <si>
    <t>List2</t>
  </si>
  <si>
    <t>fck</t>
  </si>
  <si>
    <t>fyk</t>
  </si>
  <si>
    <t>C20/25</t>
  </si>
  <si>
    <t>C25/30</t>
  </si>
  <si>
    <t>C30/37</t>
  </si>
  <si>
    <t>C35/45</t>
  </si>
  <si>
    <t>C40/50</t>
  </si>
  <si>
    <t>C45/55</t>
  </si>
  <si>
    <t>C50/60</t>
  </si>
  <si>
    <t>Ecm</t>
  </si>
  <si>
    <t>S235</t>
  </si>
  <si>
    <t>S275</t>
  </si>
  <si>
    <t>S355</t>
  </si>
  <si>
    <t>S450</t>
  </si>
  <si>
    <t>&lt;40mm</t>
  </si>
  <si>
    <t>Colums of inputs</t>
  </si>
  <si>
    <t>Column of the results</t>
  </si>
  <si>
    <t>automatic find  value x in the first list (List 1) and calculate the coresponding value in second list (List 2)based on linear interplation (horizontal table)</t>
  </si>
  <si>
    <t>automatic find  value x in the first list (List 1) and calculate the coresponding value in second list (List 2)based on linear interplation(vertical table)</t>
  </si>
  <si>
    <t>r</t>
  </si>
  <si>
    <t>radius of the circle</t>
  </si>
  <si>
    <t>distance from top of circle to cut line</t>
  </si>
  <si>
    <t>Area of a arc area which is cutted at location x to top of the circle</t>
  </si>
  <si>
    <t>plastic section modulus of a arc area which is cutted at location x to top of the circle</t>
  </si>
  <si>
    <t>calcualte the creep coefficent in Eurocode 2 based on time T</t>
  </si>
  <si>
    <t>t</t>
  </si>
  <si>
    <t>t_0T</t>
  </si>
  <si>
    <t>RH</t>
  </si>
  <si>
    <t>Ac</t>
  </si>
  <si>
    <t>area of concrete in mm2</t>
  </si>
  <si>
    <t>u</t>
  </si>
  <si>
    <t>perimeter of the member in contact with the atmosphere in mm</t>
  </si>
  <si>
    <t>f_cm</t>
  </si>
  <si>
    <t>Cement type</t>
  </si>
  <si>
    <t>"-1 :class S ;0:class N 1 :class R"</t>
  </si>
  <si>
    <t>the calculated time, 0 for infinite time</t>
  </si>
  <si>
    <t>initial load time considered temperate modification</t>
  </si>
  <si>
    <t>the relative moisture of environment 0 to 100</t>
  </si>
  <si>
    <t>mean concrete strength in Mpa</t>
  </si>
  <si>
    <t xml:space="preserve">steel profiles </t>
  </si>
  <si>
    <t>G</t>
  </si>
  <si>
    <t>h</t>
  </si>
  <si>
    <r>
      <t>t</t>
    </r>
    <r>
      <rPr>
        <vertAlign val="subscript"/>
        <sz val="12"/>
        <color indexed="8"/>
        <rFont val="Arial"/>
        <family val="2"/>
      </rPr>
      <t>w</t>
    </r>
  </si>
  <si>
    <r>
      <t>t</t>
    </r>
    <r>
      <rPr>
        <vertAlign val="subscript"/>
        <sz val="12"/>
        <color indexed="8"/>
        <rFont val="Arial"/>
        <family val="2"/>
      </rPr>
      <t>f</t>
    </r>
  </si>
  <si>
    <t>A</t>
  </si>
  <si>
    <r>
      <t>h</t>
    </r>
    <r>
      <rPr>
        <vertAlign val="subscript"/>
        <sz val="12"/>
        <color indexed="8"/>
        <rFont val="Arial"/>
        <family val="2"/>
      </rPr>
      <t>i</t>
    </r>
  </si>
  <si>
    <t>d</t>
  </si>
  <si>
    <r>
      <t>I</t>
    </r>
    <r>
      <rPr>
        <vertAlign val="subscript"/>
        <sz val="12"/>
        <color indexed="8"/>
        <rFont val="Arial"/>
        <family val="2"/>
      </rPr>
      <t>y</t>
    </r>
  </si>
  <si>
    <r>
      <t>W</t>
    </r>
    <r>
      <rPr>
        <vertAlign val="subscript"/>
        <sz val="12"/>
        <color indexed="8"/>
        <rFont val="Arial"/>
        <family val="2"/>
      </rPr>
      <t>el,y</t>
    </r>
  </si>
  <si>
    <r>
      <t>i</t>
    </r>
    <r>
      <rPr>
        <vertAlign val="subscript"/>
        <sz val="12"/>
        <color indexed="8"/>
        <rFont val="Arial"/>
        <family val="2"/>
      </rPr>
      <t>y</t>
    </r>
  </si>
  <si>
    <r>
      <t>A</t>
    </r>
    <r>
      <rPr>
        <vertAlign val="subscript"/>
        <sz val="12"/>
        <color indexed="8"/>
        <rFont val="Arial"/>
        <family val="2"/>
      </rPr>
      <t>vz</t>
    </r>
  </si>
  <si>
    <r>
      <t>I</t>
    </r>
    <r>
      <rPr>
        <vertAlign val="subscript"/>
        <sz val="12"/>
        <color indexed="8"/>
        <rFont val="Arial"/>
        <family val="2"/>
      </rPr>
      <t>z</t>
    </r>
  </si>
  <si>
    <r>
      <t>W</t>
    </r>
    <r>
      <rPr>
        <vertAlign val="subscript"/>
        <sz val="12"/>
        <color indexed="8"/>
        <rFont val="Arial"/>
        <family val="2"/>
      </rPr>
      <t>el,z</t>
    </r>
  </si>
  <si>
    <r>
      <t xml:space="preserve"> i</t>
    </r>
    <r>
      <rPr>
        <vertAlign val="subscript"/>
        <sz val="12"/>
        <color indexed="8"/>
        <rFont val="Arial"/>
        <family val="2"/>
      </rPr>
      <t>z</t>
    </r>
  </si>
  <si>
    <r>
      <t>s</t>
    </r>
    <r>
      <rPr>
        <vertAlign val="subscript"/>
        <sz val="12"/>
        <color indexed="8"/>
        <rFont val="Arial"/>
        <family val="2"/>
      </rPr>
      <t>s</t>
    </r>
  </si>
  <si>
    <r>
      <t>I</t>
    </r>
    <r>
      <rPr>
        <vertAlign val="subscript"/>
        <sz val="12"/>
        <color indexed="8"/>
        <rFont val="Arial"/>
        <family val="2"/>
      </rPr>
      <t>t</t>
    </r>
  </si>
  <si>
    <r>
      <t>I</t>
    </r>
    <r>
      <rPr>
        <vertAlign val="subscript"/>
        <sz val="12"/>
        <color indexed="8"/>
        <rFont val="Arial"/>
        <family val="2"/>
      </rPr>
      <t>w</t>
    </r>
  </si>
  <si>
    <t>kg/m</t>
  </si>
  <si>
    <t xml:space="preserve"> mm</t>
  </si>
  <si>
    <t>mm</t>
  </si>
  <si>
    <r>
      <t>mm</t>
    </r>
    <r>
      <rPr>
        <vertAlign val="superscript"/>
        <sz val="9"/>
        <color indexed="8"/>
        <rFont val="Arial"/>
        <family val="2"/>
      </rPr>
      <t>2</t>
    </r>
  </si>
  <si>
    <r>
      <t>mm</t>
    </r>
    <r>
      <rPr>
        <vertAlign val="superscript"/>
        <sz val="8"/>
        <color indexed="8"/>
        <rFont val="Arial"/>
        <family val="2"/>
      </rPr>
      <t>4</t>
    </r>
    <r>
      <rPr>
        <sz val="8"/>
        <color indexed="8"/>
        <rFont val="Arial"/>
        <family val="2"/>
      </rPr>
      <t xml:space="preserve"> </t>
    </r>
  </si>
  <si>
    <r>
      <t>mm</t>
    </r>
    <r>
      <rPr>
        <vertAlign val="superscript"/>
        <sz val="8"/>
        <color indexed="8"/>
        <rFont val="Arial"/>
        <family val="2"/>
      </rPr>
      <t>3</t>
    </r>
  </si>
  <si>
    <r>
      <t>mm</t>
    </r>
    <r>
      <rPr>
        <vertAlign val="superscript"/>
        <sz val="8"/>
        <color indexed="8"/>
        <rFont val="Arial"/>
        <family val="2"/>
      </rPr>
      <t>2</t>
    </r>
  </si>
  <si>
    <r>
      <t>mm</t>
    </r>
    <r>
      <rPr>
        <vertAlign val="superscript"/>
        <sz val="8"/>
        <color indexed="8"/>
        <rFont val="Arial"/>
        <family val="2"/>
      </rPr>
      <t>4</t>
    </r>
  </si>
  <si>
    <r>
      <t>mm</t>
    </r>
    <r>
      <rPr>
        <vertAlign val="superscript"/>
        <sz val="8"/>
        <color indexed="8"/>
        <rFont val="Arial"/>
        <family val="2"/>
      </rPr>
      <t>6</t>
    </r>
  </si>
  <si>
    <t>12,2</t>
  </si>
  <si>
    <t>16,7</t>
  </si>
  <si>
    <t>20,4</t>
  </si>
  <si>
    <t>41,8</t>
  </si>
  <si>
    <t>14,6</t>
  </si>
  <si>
    <t>19,9</t>
  </si>
  <si>
    <t>26,7</t>
  </si>
  <si>
    <t>52,1</t>
  </si>
  <si>
    <t>18,1</t>
  </si>
  <si>
    <t>24,7</t>
  </si>
  <si>
    <t>33,7</t>
  </si>
  <si>
    <t>63,2</t>
  </si>
  <si>
    <t>23,8</t>
  </si>
  <si>
    <t>30,4</t>
  </si>
  <si>
    <t>42,6</t>
  </si>
  <si>
    <t>76,2</t>
  </si>
  <si>
    <t>28,7</t>
  </si>
  <si>
    <t>35,5</t>
  </si>
  <si>
    <t>51,2</t>
  </si>
  <si>
    <t>88,9</t>
  </si>
  <si>
    <t>34,6</t>
  </si>
  <si>
    <t>42,3</t>
  </si>
  <si>
    <t>61,3</t>
  </si>
  <si>
    <t>40,4</t>
  </si>
  <si>
    <t>50,5</t>
  </si>
  <si>
    <t>71,5</t>
  </si>
  <si>
    <t>47,4</t>
  </si>
  <si>
    <t>60,3</t>
  </si>
  <si>
    <t>83,2</t>
  </si>
  <si>
    <t>54,1</t>
  </si>
  <si>
    <t>68,2</t>
  </si>
  <si>
    <t>61,2</t>
  </si>
  <si>
    <t>76,4</t>
  </si>
  <si>
    <t>69,8</t>
  </si>
  <si>
    <t>88,3</t>
  </si>
  <si>
    <t>74,2</t>
  </si>
  <si>
    <t>97,6</t>
  </si>
  <si>
    <t>78,9</t>
  </si>
  <si>
    <t>83,7</t>
  </si>
  <si>
    <t>92,4</t>
  </si>
  <si>
    <t>99,7</t>
  </si>
  <si>
    <r>
      <t>W</t>
    </r>
    <r>
      <rPr>
        <vertAlign val="subscript"/>
        <sz val="12"/>
        <color indexed="8"/>
        <rFont val="Arial"/>
        <family val="2"/>
      </rPr>
      <t xml:space="preserve">pl,z </t>
    </r>
  </si>
  <si>
    <r>
      <t>W</t>
    </r>
    <r>
      <rPr>
        <vertAlign val="subscript"/>
        <sz val="12"/>
        <color indexed="8"/>
        <rFont val="Arial"/>
        <family val="2"/>
      </rPr>
      <t>pl,y</t>
    </r>
  </si>
  <si>
    <t>N.I.</t>
  </si>
  <si>
    <t>IPE750x137</t>
  </si>
  <si>
    <t>IPE750x147</t>
  </si>
  <si>
    <t>IPE750x173</t>
  </si>
  <si>
    <t>IPE750x196</t>
  </si>
  <si>
    <t>HE1000x249</t>
  </si>
  <si>
    <t>HE600x337</t>
  </si>
  <si>
    <t>HE650x343</t>
  </si>
  <si>
    <t>HE700x352</t>
  </si>
  <si>
    <t>HE800x373</t>
  </si>
  <si>
    <t>HE900x391</t>
  </si>
  <si>
    <t>HE1000x393</t>
  </si>
  <si>
    <t>HE600x399</t>
  </si>
  <si>
    <t>HE650x407</t>
  </si>
  <si>
    <t>HE1000x415</t>
  </si>
  <si>
    <t>HE700x418</t>
  </si>
  <si>
    <t>HE1000x438</t>
  </si>
  <si>
    <t>HE800x444</t>
  </si>
  <si>
    <t>HE900x466</t>
  </si>
  <si>
    <t>HE1000x494</t>
  </si>
  <si>
    <t>HE1000x584</t>
  </si>
  <si>
    <t>HEAA100</t>
  </si>
  <si>
    <t>HEA100</t>
  </si>
  <si>
    <t>HEB100</t>
  </si>
  <si>
    <t>HEC100</t>
  </si>
  <si>
    <t>HEM100</t>
  </si>
  <si>
    <t>HEAA120</t>
  </si>
  <si>
    <t>HEA120</t>
  </si>
  <si>
    <t>HEB120</t>
  </si>
  <si>
    <t>HEC120</t>
  </si>
  <si>
    <t>HEM120</t>
  </si>
  <si>
    <t>HEAA140</t>
  </si>
  <si>
    <t>HEA140</t>
  </si>
  <si>
    <t>HEB140</t>
  </si>
  <si>
    <t>HEC140</t>
  </si>
  <si>
    <t>HEM140</t>
  </si>
  <si>
    <t>HEAA160</t>
  </si>
  <si>
    <t>HEA160</t>
  </si>
  <si>
    <t>HEB160</t>
  </si>
  <si>
    <t>HEC160</t>
  </si>
  <si>
    <t>HEM160</t>
  </si>
  <si>
    <t>HEAA180</t>
  </si>
  <si>
    <t>HEA180</t>
  </si>
  <si>
    <t>HEB180</t>
  </si>
  <si>
    <t>HEC180</t>
  </si>
  <si>
    <t>HEM180</t>
  </si>
  <si>
    <t>HEAA200</t>
  </si>
  <si>
    <t>HEA200</t>
  </si>
  <si>
    <t>HEB200</t>
  </si>
  <si>
    <t>HEC200</t>
  </si>
  <si>
    <t>HEM200</t>
  </si>
  <si>
    <t>HEAA220</t>
  </si>
  <si>
    <t>HEA220</t>
  </si>
  <si>
    <t>HEB220</t>
  </si>
  <si>
    <t>HEC220</t>
  </si>
  <si>
    <t>HEM220</t>
  </si>
  <si>
    <t>HEAA240</t>
  </si>
  <si>
    <t>HEA240</t>
  </si>
  <si>
    <t>HEB240</t>
  </si>
  <si>
    <t>HEC240</t>
  </si>
  <si>
    <t>HEM240</t>
  </si>
  <si>
    <t>HEAA260</t>
  </si>
  <si>
    <t>HEA260</t>
  </si>
  <si>
    <t>HEB260</t>
  </si>
  <si>
    <t>HEC260</t>
  </si>
  <si>
    <t>HEM260</t>
  </si>
  <si>
    <t>HEAA280</t>
  </si>
  <si>
    <t>HEA280</t>
  </si>
  <si>
    <t>HEB280</t>
  </si>
  <si>
    <t>HEC280</t>
  </si>
  <si>
    <t>HEM280</t>
  </si>
  <si>
    <t>HEAA300</t>
  </si>
  <si>
    <t>HEA300</t>
  </si>
  <si>
    <t>HEB300</t>
  </si>
  <si>
    <t>HEC300</t>
  </si>
  <si>
    <t>HEM300</t>
  </si>
  <si>
    <t>HEAA320</t>
  </si>
  <si>
    <t>HEA320</t>
  </si>
  <si>
    <t>HEB320</t>
  </si>
  <si>
    <t>HEC320</t>
  </si>
  <si>
    <t>HEM320</t>
  </si>
  <si>
    <t>HEAA340</t>
  </si>
  <si>
    <t>HEA340</t>
  </si>
  <si>
    <t>HEB340</t>
  </si>
  <si>
    <t>HEM340</t>
  </si>
  <si>
    <t>HEAA360</t>
  </si>
  <si>
    <t>HEA360</t>
  </si>
  <si>
    <t>HEB360</t>
  </si>
  <si>
    <t>HEM360</t>
  </si>
  <si>
    <t>HEAA400</t>
  </si>
  <si>
    <t>HEA400</t>
  </si>
  <si>
    <t>HEB400</t>
  </si>
  <si>
    <t>HEM400</t>
  </si>
  <si>
    <t>HEAA450</t>
  </si>
  <si>
    <t>HEA450</t>
  </si>
  <si>
    <t>HEB450</t>
  </si>
  <si>
    <t>HEM450</t>
  </si>
  <si>
    <t>HEAA500</t>
  </si>
  <si>
    <t>HEA500</t>
  </si>
  <si>
    <t>HEB500</t>
  </si>
  <si>
    <t>HEM500</t>
  </si>
  <si>
    <t>HEAA550</t>
  </si>
  <si>
    <t>HEA550</t>
  </si>
  <si>
    <t>HEB550</t>
  </si>
  <si>
    <t>HEM550</t>
  </si>
  <si>
    <t>HEAA600</t>
  </si>
  <si>
    <t>HEA600</t>
  </si>
  <si>
    <t>HEB600</t>
  </si>
  <si>
    <t>HEM600</t>
  </si>
  <si>
    <t>HEAA650</t>
  </si>
  <si>
    <t>HEA650</t>
  </si>
  <si>
    <t>HEB650</t>
  </si>
  <si>
    <t>HEM650</t>
  </si>
  <si>
    <t>HEAA700</t>
  </si>
  <si>
    <t>HEA700</t>
  </si>
  <si>
    <t>HEB700</t>
  </si>
  <si>
    <t>HEM700</t>
  </si>
  <si>
    <t>HEAA800</t>
  </si>
  <si>
    <t>HEA800</t>
  </si>
  <si>
    <t>HEB800</t>
  </si>
  <si>
    <t>HEM800</t>
  </si>
  <si>
    <t>HEAA900</t>
  </si>
  <si>
    <t>HEA900</t>
  </si>
  <si>
    <t>HEB900</t>
  </si>
  <si>
    <t>HEM900</t>
  </si>
  <si>
    <t>HEAA1000</t>
  </si>
  <si>
    <t>HEA1000</t>
  </si>
  <si>
    <t>HEB1000</t>
  </si>
  <si>
    <t>HEM1000</t>
  </si>
  <si>
    <t>IPE80AA</t>
  </si>
  <si>
    <t>IPE80A</t>
  </si>
  <si>
    <t>IPE100AA</t>
  </si>
  <si>
    <t>IPE100A</t>
  </si>
  <si>
    <t>IPE120AA</t>
  </si>
  <si>
    <t>IPE120A</t>
  </si>
  <si>
    <t>IPE140AA</t>
  </si>
  <si>
    <t>IPE140A</t>
  </si>
  <si>
    <t>IPE160AA</t>
  </si>
  <si>
    <t>IPE160A</t>
  </si>
  <si>
    <t>IPE180AA</t>
  </si>
  <si>
    <t>IPE180A</t>
  </si>
  <si>
    <t>IPE180O</t>
  </si>
  <si>
    <t>IPE200AA</t>
  </si>
  <si>
    <t>IPE200A</t>
  </si>
  <si>
    <t>IPE200O</t>
  </si>
  <si>
    <t>IPE220AA</t>
  </si>
  <si>
    <t>IPE220A</t>
  </si>
  <si>
    <t>IPE220O</t>
  </si>
  <si>
    <t>IPE240AA</t>
  </si>
  <si>
    <t>IPE240A</t>
  </si>
  <si>
    <t>IPE240O</t>
  </si>
  <si>
    <t>IPE270A</t>
  </si>
  <si>
    <t>IPE270O</t>
  </si>
  <si>
    <t>IPE300A</t>
  </si>
  <si>
    <t>IPE300O</t>
  </si>
  <si>
    <t>IPE330A</t>
  </si>
  <si>
    <t>IPE330O</t>
  </si>
  <si>
    <t>IPE360A</t>
  </si>
  <si>
    <t>IPE360O</t>
  </si>
  <si>
    <t>IPE400A</t>
  </si>
  <si>
    <t>IPE400O</t>
  </si>
  <si>
    <t>IPE450A</t>
  </si>
  <si>
    <t>IPE450O</t>
  </si>
  <si>
    <t>IPE500A</t>
  </si>
  <si>
    <t>IPE500O</t>
  </si>
  <si>
    <t>IPE550A</t>
  </si>
  <si>
    <t>IPE550O</t>
  </si>
  <si>
    <t>IPE600A</t>
  </si>
  <si>
    <t>IPE600O</t>
  </si>
  <si>
    <t>IPE80</t>
  </si>
  <si>
    <t>IPE100</t>
  </si>
  <si>
    <t>IPE120</t>
  </si>
  <si>
    <t>IPE140</t>
  </si>
  <si>
    <t>IPE160</t>
  </si>
  <si>
    <t>IPE180</t>
  </si>
  <si>
    <t>IPE200</t>
  </si>
  <si>
    <t>IPE220</t>
  </si>
  <si>
    <t>IPE240</t>
  </si>
  <si>
    <t>IPE270</t>
  </si>
  <si>
    <t>IPE300</t>
  </si>
  <si>
    <t>IPE330</t>
  </si>
  <si>
    <t>IPE360</t>
  </si>
  <si>
    <t>IPE400</t>
  </si>
  <si>
    <t>IPE450</t>
  </si>
  <si>
    <t>IPE500</t>
  </si>
  <si>
    <t>IPE550</t>
  </si>
  <si>
    <t>IPE600</t>
  </si>
  <si>
    <t>IPN80</t>
  </si>
  <si>
    <t>IPN100</t>
  </si>
  <si>
    <t>IPN120</t>
  </si>
  <si>
    <t>IPN140</t>
  </si>
  <si>
    <t>IPN160</t>
  </si>
  <si>
    <t>IPN180</t>
  </si>
  <si>
    <t>IPN200</t>
  </si>
  <si>
    <t>IPN220</t>
  </si>
  <si>
    <t>IPN240</t>
  </si>
  <si>
    <t>IPN260</t>
  </si>
  <si>
    <t>IPN280</t>
  </si>
  <si>
    <t>IPN300</t>
  </si>
  <si>
    <t>IPN320</t>
  </si>
  <si>
    <t>IPN340</t>
  </si>
  <si>
    <t>IPN360</t>
  </si>
  <si>
    <t>IPN380</t>
  </si>
  <si>
    <t>IPN400</t>
  </si>
  <si>
    <t>IPN450</t>
  </si>
  <si>
    <t>IPN500</t>
  </si>
  <si>
    <t>IPN550</t>
  </si>
  <si>
    <t>IPN600</t>
  </si>
  <si>
    <t>N.I</t>
  </si>
  <si>
    <t>prameter err</t>
  </si>
  <si>
    <t>checking and return the information of profiled steel sections for Eurocode support types: IPE, IPN, HEA,HEB, HEC,HEM,IPE###A, IPE###AA, IPE###O</t>
  </si>
  <si>
    <t>Profile type</t>
  </si>
  <si>
    <t xml:space="preserve">the profile name to be checked, for example "IPE200" or "HEB300" or "IPE200A"… </t>
  </si>
  <si>
    <t>Parameters</t>
  </si>
  <si>
    <t>to generate a dropdown list contains all the supported profiled steel type</t>
  </si>
  <si>
    <t>Address</t>
  </si>
  <si>
    <t>the address of the cell which you want the list to be , if leave blank the current cell will used</t>
  </si>
  <si>
    <t>grade</t>
  </si>
  <si>
    <t>fcm</t>
  </si>
  <si>
    <t>fctm</t>
  </si>
  <si>
    <t>fctk0.05</t>
  </si>
  <si>
    <t>fctk0.95</t>
  </si>
  <si>
    <t>ecu1</t>
  </si>
  <si>
    <t>ecu2</t>
  </si>
  <si>
    <t>ec1</t>
  </si>
  <si>
    <t>ec2</t>
  </si>
  <si>
    <t>n</t>
  </si>
  <si>
    <t>ec3</t>
  </si>
  <si>
    <t>ecu3</t>
  </si>
  <si>
    <t>C12/15</t>
  </si>
  <si>
    <t>C16/20</t>
  </si>
  <si>
    <t>C55/67</t>
  </si>
  <si>
    <t>C60/75</t>
  </si>
  <si>
    <t>C70/85</t>
  </si>
  <si>
    <t>C80/95</t>
  </si>
  <si>
    <t>C90/105</t>
  </si>
  <si>
    <t>fck,cube</t>
  </si>
  <si>
    <t>materials-concrete</t>
  </si>
  <si>
    <t>Mpa</t>
  </si>
  <si>
    <t>unit</t>
  </si>
  <si>
    <t>CL_RC_ConcreteData</t>
  </si>
  <si>
    <t>Concrete Grade</t>
  </si>
  <si>
    <t>"c12/15" to "c90/105"</t>
  </si>
  <si>
    <t>checking and return the information of concrete strength for Eurocode2 Table 3.1</t>
  </si>
  <si>
    <t>the parameter needed: 22 paramters supported: ["h,b,r,tw,tf,d,hi,A,Iy,Iz,Wely,Welz,Wply,Wplz,iy,iz,Avz,Ss,It,Iw,G"] unit based on mm and kg</t>
  </si>
  <si>
    <t>15 parameters in Table 3.1"  unit Mpa or non ["fck,fck,cube,fcm,fctm,fctk0.05,fctk0.95,Ecm,epsilon_c1,epsilon_c2,epsilon_c3,epsilon_cu1,epsilon_cu2,epsilon_cu3]</t>
  </si>
  <si>
    <t>marials-steel</t>
  </si>
  <si>
    <t>S275N/NL</t>
  </si>
  <si>
    <t>S355N/NL</t>
  </si>
  <si>
    <t>S420N/NL</t>
  </si>
  <si>
    <t>S460N/NL</t>
  </si>
  <si>
    <t>S275M/ML</t>
  </si>
  <si>
    <t>S355M/ML</t>
  </si>
  <si>
    <t>S420M/ML</t>
  </si>
  <si>
    <t>S460M/ML</t>
  </si>
  <si>
    <t>S235W</t>
  </si>
  <si>
    <t>S355W</t>
  </si>
  <si>
    <t>S460Q/QL/QL1</t>
  </si>
  <si>
    <t>S235H</t>
  </si>
  <si>
    <t>S275El</t>
  </si>
  <si>
    <t>S355H</t>
  </si>
  <si>
    <t>S275NH/NLH</t>
  </si>
  <si>
    <t>S355NH/NLH</t>
  </si>
  <si>
    <t>S420NH/NLH</t>
  </si>
  <si>
    <t>S460NH/NLH</t>
  </si>
  <si>
    <t>S275H</t>
  </si>
  <si>
    <t>S275MH/MLH</t>
  </si>
  <si>
    <t>S355MH/MLH</t>
  </si>
  <si>
    <t>S420MH/MLH</t>
  </si>
  <si>
    <t>S460MH/MLH</t>
  </si>
  <si>
    <t>40-80mm</t>
  </si>
  <si>
    <t>CL_S_SteelData</t>
  </si>
  <si>
    <t>checking and return the information of concrete strength for Eurocode3 Table 3.1</t>
  </si>
  <si>
    <t>steel grade</t>
  </si>
  <si>
    <t>"S235" to "S460MH/MLH"</t>
  </si>
  <si>
    <t>thickness</t>
  </si>
  <si>
    <t>0 to 80 mm</t>
  </si>
  <si>
    <t>Parameter</t>
  </si>
  <si>
    <t>thickness.err</t>
  </si>
  <si>
    <t>pr.err</t>
  </si>
  <si>
    <t>CL_CP_ConcreteData</t>
  </si>
  <si>
    <t>"c12/15" to "c50/60"</t>
  </si>
  <si>
    <t>checking and return the information of concrete strength for Eurocode2 Table 3.1 but to C50/60</t>
  </si>
  <si>
    <t>CL_S_SteelList</t>
  </si>
  <si>
    <t>CL_CP_ConcreteList</t>
  </si>
  <si>
    <t>CL_RC_ConcreteList</t>
  </si>
  <si>
    <t>to generate a dropdown list contains all the supported  steel grade by EC3</t>
  </si>
  <si>
    <t>to generate a dropdown list contains all the supported concrete grade by EC4</t>
  </si>
  <si>
    <t>to generate a dropdown list contains all the supported concrete grade by EC2</t>
  </si>
  <si>
    <t>CL_CP_beff</t>
  </si>
  <si>
    <t>CL_CP_beff_JGJ</t>
  </si>
  <si>
    <t>CL_CP_Le</t>
  </si>
  <si>
    <t>CL_CP_Le_JGJ</t>
  </si>
  <si>
    <t>CL_G_TabelInterpolationH</t>
  </si>
  <si>
    <t>CL_G_TabelInterpolationV</t>
  </si>
  <si>
    <t>CL_G_Aarc</t>
  </si>
  <si>
    <t>CL_G_Warc</t>
  </si>
  <si>
    <t>CL_RC_beff</t>
  </si>
  <si>
    <t>CL_RC_beff_GB</t>
  </si>
  <si>
    <t>Material -cement</t>
  </si>
  <si>
    <t>S</t>
  </si>
  <si>
    <t>N</t>
  </si>
  <si>
    <t>R</t>
  </si>
  <si>
    <t>P_</t>
  </si>
  <si>
    <t>y</t>
  </si>
  <si>
    <t>shape Rectangle  1</t>
  </si>
  <si>
    <t>shape Rectangle  2</t>
  </si>
  <si>
    <t>shape Rectangle  3</t>
  </si>
  <si>
    <t>tw</t>
  </si>
  <si>
    <t>tf</t>
  </si>
  <si>
    <t>CL_Dr_drawRec</t>
  </si>
  <si>
    <t>CL_Dr_drawProfile_Weld</t>
  </si>
  <si>
    <t>CL_Dr_drawCircle</t>
  </si>
  <si>
    <t>to draw a Rectangle shape on a chart</t>
  </si>
  <si>
    <t>to draw a user costumized steel H or I profile</t>
  </si>
  <si>
    <t>to draw a circle</t>
  </si>
  <si>
    <t>the height</t>
  </si>
  <si>
    <t>the width</t>
  </si>
  <si>
    <t>chartname</t>
  </si>
  <si>
    <t>[optional] x location of the center, default =0</t>
  </si>
  <si>
    <t>[optional] the chart you want to draw on, if new chart leave blank</t>
  </si>
  <si>
    <t>thickness of flange</t>
  </si>
  <si>
    <t>thickness of the web</t>
  </si>
  <si>
    <t>the radius of circle</t>
  </si>
  <si>
    <t>divisions</t>
  </si>
  <si>
    <t>depend how smooth the circle be , default =32 parts</t>
  </si>
  <si>
    <t>CL_Dr_updateRec</t>
  </si>
  <si>
    <t>CL_Dr_updateCircle</t>
  </si>
  <si>
    <t>CL_Dr_updateProfile_weld</t>
  </si>
  <si>
    <t>update an exsited Rectangle</t>
  </si>
  <si>
    <t>update an exsited welded proflie</t>
  </si>
  <si>
    <t xml:space="preserve"> the chart you want to draw on e.g. "chart3"</t>
  </si>
  <si>
    <t>[optional] the chart you want to draw on, if new chart leave blank e.g. "chart3"</t>
  </si>
  <si>
    <t>ID</t>
  </si>
  <si>
    <t xml:space="preserve"> x location of the center,</t>
  </si>
  <si>
    <t>x location of the center</t>
  </si>
  <si>
    <t>the chart you want to draw on</t>
  </si>
  <si>
    <t xml:space="preserve"> the chart you want to draw on, e.g. "chart3"</t>
  </si>
  <si>
    <t xml:space="preserve"> x location of the center</t>
  </si>
  <si>
    <t xml:space="preserve">x location of the center, </t>
  </si>
  <si>
    <t xml:space="preserve">depend how smooth the circle be </t>
  </si>
  <si>
    <t>the ID of the shape (chart series)</t>
  </si>
  <si>
    <t>update an exsited circle</t>
  </si>
  <si>
    <t>system units</t>
  </si>
  <si>
    <t>0.0</t>
  </si>
  <si>
    <t>0.00</t>
  </si>
  <si>
    <t>0.000</t>
  </si>
  <si>
    <t>0.0000</t>
  </si>
  <si>
    <t>0.00E+00</t>
  </si>
  <si>
    <t>0.0E+00</t>
  </si>
  <si>
    <t>cm</t>
  </si>
  <si>
    <t>m</t>
  </si>
  <si>
    <t>kN</t>
  </si>
  <si>
    <t>mm⁴</t>
  </si>
  <si>
    <t>mm²</t>
  </si>
  <si>
    <t>mm³</t>
  </si>
  <si>
    <t>N/mm²</t>
  </si>
  <si>
    <t>m²</t>
  </si>
  <si>
    <t>m³</t>
  </si>
  <si>
    <t>m⁴</t>
  </si>
  <si>
    <t>cm²</t>
  </si>
  <si>
    <t>cm³</t>
  </si>
  <si>
    <t>cm⁴</t>
  </si>
  <si>
    <t>kN/cm²</t>
  </si>
  <si>
    <t>kN/m²</t>
  </si>
  <si>
    <t>From</t>
  </si>
  <si>
    <t>to</t>
  </si>
  <si>
    <t>pa</t>
  </si>
  <si>
    <t>kNm</t>
  </si>
  <si>
    <t>Nm</t>
  </si>
  <si>
    <t>KNmm</t>
  </si>
  <si>
    <t>Nmm</t>
  </si>
  <si>
    <t>covertor</t>
  </si>
  <si>
    <t>fyu</t>
  </si>
  <si>
    <t>CL_RC_CreepCo</t>
  </si>
  <si>
    <t>CL_G_Table_find</t>
  </si>
  <si>
    <t>Table_Range</t>
  </si>
  <si>
    <t>Column Value</t>
  </si>
  <si>
    <t>the value to be find in the column direction(horizontal)</t>
  </si>
  <si>
    <t>Row Value</t>
  </si>
  <si>
    <t>the value to be find in a row (vertical)</t>
  </si>
  <si>
    <t xml:space="preserve">check data from a two dimenstion Table and return the value. </t>
  </si>
  <si>
    <t>the range of the Table . (The first row and first column must be the index of the table)</t>
  </si>
  <si>
    <t>Gpa</t>
  </si>
  <si>
    <t>replace greek letters</t>
  </si>
  <si>
    <t>\alpha</t>
  </si>
  <si>
    <t>\beta</t>
  </si>
  <si>
    <t>\gamma</t>
  </si>
  <si>
    <t>\delta</t>
  </si>
  <si>
    <t>\epsilon</t>
  </si>
  <si>
    <t>\eta</t>
  </si>
  <si>
    <t>\theta</t>
  </si>
  <si>
    <t>\kappa</t>
  </si>
  <si>
    <t>\mu</t>
  </si>
  <si>
    <t>\nu</t>
  </si>
  <si>
    <t>\xi</t>
  </si>
  <si>
    <t>\rho</t>
  </si>
  <si>
    <t>\sigma</t>
  </si>
  <si>
    <t>\tau</t>
  </si>
  <si>
    <t>\upsilon</t>
  </si>
  <si>
    <t>\phi</t>
  </si>
  <si>
    <t>\chi</t>
  </si>
  <si>
    <t>\omega</t>
  </si>
  <si>
    <t>\Usigma</t>
  </si>
  <si>
    <t>\Udelta</t>
  </si>
  <si>
    <t>α</t>
  </si>
  <si>
    <t>β</t>
  </si>
  <si>
    <t>γ</t>
  </si>
  <si>
    <t>δ</t>
  </si>
  <si>
    <t>ε</t>
  </si>
  <si>
    <t>η</t>
  </si>
  <si>
    <t>θ</t>
  </si>
  <si>
    <t>κ</t>
  </si>
  <si>
    <t>μ</t>
  </si>
  <si>
    <t>ν</t>
  </si>
  <si>
    <t>ξ</t>
  </si>
  <si>
    <t>ρ</t>
  </si>
  <si>
    <t>σ</t>
  </si>
  <si>
    <t>Σ</t>
  </si>
  <si>
    <t>τ</t>
  </si>
  <si>
    <t>υ</t>
  </si>
  <si>
    <t>ϕ</t>
  </si>
  <si>
    <t>χ</t>
  </si>
  <si>
    <t>\Uphi</t>
  </si>
  <si>
    <t>φ</t>
  </si>
  <si>
    <t>ω</t>
  </si>
  <si>
    <t>Δ</t>
  </si>
  <si>
    <t>greek</t>
  </si>
  <si>
    <t>\zeta</t>
  </si>
  <si>
    <t>ζ</t>
  </si>
  <si>
    <t>########</t>
  </si>
  <si>
    <t>CL_S_ProfiledSteelData</t>
  </si>
  <si>
    <t>CL_S_ProfiledSteelList</t>
  </si>
  <si>
    <t>fyk fyu in Mpa</t>
  </si>
  <si>
    <t>\lambda</t>
  </si>
  <si>
    <t>λ</t>
  </si>
  <si>
    <t>concrete</t>
  </si>
  <si>
    <t>rebars</t>
  </si>
  <si>
    <t>steel section</t>
  </si>
  <si>
    <t>input data</t>
  </si>
  <si>
    <t>cement type</t>
  </si>
  <si>
    <t>U</t>
  </si>
  <si>
    <t>RH%</t>
  </si>
  <si>
    <t>t (days)</t>
  </si>
  <si>
    <t>Results</t>
  </si>
  <si>
    <t>beff/n</t>
  </si>
  <si>
    <t>drawings</t>
  </si>
  <si>
    <r>
      <t>E</t>
    </r>
    <r>
      <rPr>
        <vertAlign val="subscript"/>
        <sz val="11"/>
        <color theme="1"/>
        <rFont val="Calibri"/>
        <family val="2"/>
        <scheme val="minor"/>
      </rPr>
      <t>cm</t>
    </r>
  </si>
  <si>
    <r>
      <t>I</t>
    </r>
    <r>
      <rPr>
        <vertAlign val="subscript"/>
        <sz val="11"/>
        <color theme="1"/>
        <rFont val="Calibri"/>
        <family val="2"/>
        <scheme val="minor"/>
      </rPr>
      <t>c</t>
    </r>
  </si>
  <si>
    <r>
      <t>A</t>
    </r>
    <r>
      <rPr>
        <vertAlign val="subscript"/>
        <sz val="11"/>
        <color theme="1"/>
        <rFont val="Calibri"/>
        <family val="2"/>
        <scheme val="minor"/>
      </rPr>
      <t>c</t>
    </r>
  </si>
  <si>
    <r>
      <t>z</t>
    </r>
    <r>
      <rPr>
        <vertAlign val="subscript"/>
        <sz val="11"/>
        <color theme="1"/>
        <rFont val="Calibri"/>
        <family val="2"/>
        <scheme val="minor"/>
      </rPr>
      <t>c</t>
    </r>
  </si>
  <si>
    <r>
      <t>E</t>
    </r>
    <r>
      <rPr>
        <vertAlign val="subscript"/>
        <sz val="11"/>
        <color theme="1"/>
        <rFont val="Calibri"/>
        <family val="2"/>
        <scheme val="minor"/>
      </rPr>
      <t>s</t>
    </r>
  </si>
  <si>
    <r>
      <t>I</t>
    </r>
    <r>
      <rPr>
        <vertAlign val="subscript"/>
        <sz val="11"/>
        <color theme="1"/>
        <rFont val="Calibri"/>
        <family val="2"/>
        <scheme val="minor"/>
      </rPr>
      <t>s</t>
    </r>
  </si>
  <si>
    <r>
      <t>A</t>
    </r>
    <r>
      <rPr>
        <vertAlign val="subscript"/>
        <sz val="11"/>
        <color theme="1"/>
        <rFont val="Calibri"/>
        <family val="2"/>
        <scheme val="minor"/>
      </rPr>
      <t>s</t>
    </r>
  </si>
  <si>
    <r>
      <t>z</t>
    </r>
    <r>
      <rPr>
        <vertAlign val="subscript"/>
        <sz val="11"/>
        <color theme="1"/>
        <rFont val="Calibri"/>
        <family val="2"/>
        <scheme val="minor"/>
      </rPr>
      <t>s</t>
    </r>
  </si>
  <si>
    <r>
      <t>E</t>
    </r>
    <r>
      <rPr>
        <vertAlign val="subscript"/>
        <sz val="11"/>
        <color theme="1"/>
        <rFont val="Calibri"/>
        <family val="2"/>
        <scheme val="minor"/>
      </rPr>
      <t>a</t>
    </r>
  </si>
  <si>
    <r>
      <t>I</t>
    </r>
    <r>
      <rPr>
        <vertAlign val="subscript"/>
        <sz val="11"/>
        <color theme="1"/>
        <rFont val="Calibri"/>
        <family val="2"/>
        <scheme val="minor"/>
      </rPr>
      <t>a</t>
    </r>
  </si>
  <si>
    <r>
      <t>A</t>
    </r>
    <r>
      <rPr>
        <vertAlign val="subscript"/>
        <sz val="11"/>
        <color theme="1"/>
        <rFont val="Calibri"/>
        <family val="2"/>
        <scheme val="minor"/>
      </rPr>
      <t>a</t>
    </r>
  </si>
  <si>
    <r>
      <t>z</t>
    </r>
    <r>
      <rPr>
        <vertAlign val="subscript"/>
        <sz val="11"/>
        <color theme="1"/>
        <rFont val="Calibri"/>
        <family val="2"/>
        <scheme val="minor"/>
      </rPr>
      <t>a</t>
    </r>
  </si>
  <si>
    <r>
      <t>α</t>
    </r>
    <r>
      <rPr>
        <vertAlign val="subscript"/>
        <sz val="11"/>
        <color theme="1"/>
        <rFont val="Calibri"/>
        <family val="2"/>
        <scheme val="minor"/>
      </rPr>
      <t>cc</t>
    </r>
  </si>
  <si>
    <r>
      <t>t</t>
    </r>
    <r>
      <rPr>
        <vertAlign val="subscript"/>
        <sz val="11"/>
        <color theme="1"/>
        <rFont val="Calibri"/>
        <family val="2"/>
        <scheme val="minor"/>
      </rPr>
      <t>0  (days)</t>
    </r>
  </si>
  <si>
    <r>
      <t>h</t>
    </r>
    <r>
      <rPr>
        <vertAlign val="subscript"/>
        <sz val="11"/>
        <color theme="1"/>
        <rFont val="Calibri"/>
        <family val="2"/>
        <scheme val="minor"/>
      </rPr>
      <t>c</t>
    </r>
  </si>
  <si>
    <r>
      <t>b</t>
    </r>
    <r>
      <rPr>
        <vertAlign val="subscript"/>
        <sz val="11"/>
        <color theme="1"/>
        <rFont val="Calibri"/>
        <family val="2"/>
        <scheme val="minor"/>
      </rPr>
      <t>eff</t>
    </r>
  </si>
  <si>
    <r>
      <t>f</t>
    </r>
    <r>
      <rPr>
        <vertAlign val="subscript"/>
        <sz val="11"/>
        <color theme="1"/>
        <rFont val="Calibri"/>
        <family val="2"/>
        <scheme val="minor"/>
      </rPr>
      <t>cm</t>
    </r>
  </si>
  <si>
    <r>
      <t>z</t>
    </r>
    <r>
      <rPr>
        <vertAlign val="subscript"/>
        <sz val="11"/>
        <color theme="1"/>
        <rFont val="Calibri"/>
        <family val="2"/>
        <scheme val="minor"/>
      </rPr>
      <t>na</t>
    </r>
  </si>
  <si>
    <t>diameter</t>
  </si>
  <si>
    <t>number</t>
  </si>
  <si>
    <t>cover</t>
  </si>
  <si>
    <r>
      <t>(</t>
    </r>
    <r>
      <rPr>
        <sz val="11"/>
        <color theme="1"/>
        <rFont val="Calibri"/>
        <family val="2"/>
        <scheme val="minor"/>
      </rPr>
      <t>EI)</t>
    </r>
    <r>
      <rPr>
        <vertAlign val="subscript"/>
        <sz val="11"/>
        <color theme="1"/>
        <rFont val="Calibri"/>
        <family val="2"/>
        <scheme val="minor"/>
      </rPr>
      <t>eff</t>
    </r>
  </si>
  <si>
    <t xml:space="preserve"> Consider Time effects</t>
  </si>
  <si>
    <r>
      <t>Effective stiffness: (EI)</t>
    </r>
    <r>
      <rPr>
        <b/>
        <i/>
        <u/>
        <vertAlign val="subscript"/>
        <sz val="14"/>
        <color theme="1"/>
        <rFont val="Calibri"/>
        <family val="2"/>
        <scheme val="minor"/>
      </rPr>
      <t>eff</t>
    </r>
    <r>
      <rPr>
        <b/>
        <i/>
        <u/>
        <sz val="14"/>
        <color theme="1"/>
        <rFont val="Calibri"/>
        <family val="2"/>
        <scheme val="minor"/>
      </rPr>
      <t xml:space="preserve"> of composite beams (without profile)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</si>
</sst>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164" formatCode="0.0"/>
    <numFmt numFmtId="165" formatCode="0&quot;MPa&quot;"/>
    <numFmt numFmtId="166" formatCode="0&quot;M&quot;"/>
    <numFmt numFmtId="167" formatCode="0.00&quot;Mpa&quot;"/>
    <numFmt numFmtId="168" formatCode="0&quot; mm&quot;&quot;&quot;"/>
    <numFmt numFmtId="169" formatCode="0&quot; mm²&quot;&quot;&quot;"/>
    <numFmt numFmtId="170" formatCode="0&quot; mm⁴&quot;&quot;&quot;"/>
    <numFmt numFmtId="171" formatCode="0&quot; N/mm²&quot;&quot;&quot;"/>
    <numFmt numFmtId="172" formatCode="0.0&quot; mm&quot;&quot;&quot;"/>
    <numFmt numFmtId="173" formatCode="0.0E+00&quot; mm²&quot;&quot;&quot;"/>
    <numFmt numFmtId="174" formatCode="0.0E+00&quot; mm⁴&quot;&quot;&quot;"/>
    <numFmt numFmtId="175" formatCode="0.0E+00&quot; N/mm²&quot;&quot;&quot;"/>
  </numFmts>
  <fonts count="20" x14ac:knownFonts="1">
    <font>
      <sz val="11"/>
      <color theme="1"/>
      <name val="Calibri"/>
      <family val="2"/>
      <scheme val="minor"/>
    </font>
    <font>
      <sz val="12"/>
      <color rgb="FF24292E"/>
      <name val="Segoe U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color indexed="8"/>
      <name val="Arial"/>
      <family val="2"/>
    </font>
    <font>
      <vertAlign val="subscript"/>
      <sz val="12"/>
      <color indexed="8"/>
      <name val="Arial"/>
      <family val="2"/>
    </font>
    <font>
      <vertAlign val="superscript"/>
      <sz val="9"/>
      <color indexed="8"/>
      <name val="Arial"/>
      <family val="2"/>
    </font>
    <font>
      <vertAlign val="superscript"/>
      <sz val="8"/>
      <color indexed="8"/>
      <name val="Arial"/>
      <family val="2"/>
    </font>
    <font>
      <sz val="10"/>
      <color indexed="8"/>
      <name val="Arial"/>
      <family val="2"/>
    </font>
    <font>
      <sz val="7"/>
      <name val="Arial"/>
      <family val="2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b/>
      <i/>
      <u/>
      <sz val="14"/>
      <color theme="1"/>
      <name val="Calibri"/>
      <family val="2"/>
      <scheme val="minor"/>
    </font>
    <font>
      <b/>
      <i/>
      <u/>
      <vertAlign val="subscript"/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6F8FA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</fills>
  <borders count="37">
    <border>
      <left/>
      <right/>
      <top/>
      <bottom/>
      <diagonal/>
    </border>
    <border>
      <left style="medium">
        <color rgb="FFDFE2E5"/>
      </left>
      <right style="medium">
        <color rgb="FFDFE2E5"/>
      </right>
      <top style="medium">
        <color rgb="FFDFE2E5"/>
      </top>
      <bottom style="medium">
        <color rgb="FFDFE2E5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 style="hair">
        <color indexed="64"/>
      </left>
      <right style="hair">
        <color indexed="64"/>
      </right>
      <top/>
      <bottom style="double">
        <color indexed="64"/>
      </bottom>
      <diagonal/>
    </border>
    <border>
      <left/>
      <right style="hair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double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1">
    <xf numFmtId="0" fontId="0" fillId="0" borderId="0" xfId="0"/>
    <xf numFmtId="0" fontId="0" fillId="0" borderId="0" xfId="0" applyAlignment="1">
      <alignment wrapText="1"/>
    </xf>
    <xf numFmtId="0" fontId="1" fillId="0" borderId="0" xfId="0" applyFont="1" applyAlignment="1">
      <alignment wrapText="1"/>
    </xf>
    <xf numFmtId="0" fontId="1" fillId="2" borderId="1" xfId="0" applyFont="1" applyFill="1" applyBorder="1" applyAlignment="1">
      <alignment horizontal="left" vertical="center" wrapText="1"/>
    </xf>
    <xf numFmtId="0" fontId="0" fillId="0" borderId="3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3" fillId="0" borderId="0" xfId="0" applyFont="1" applyAlignment="1">
      <alignment horizontal="center" vertical="center" wrapText="1"/>
    </xf>
    <xf numFmtId="0" fontId="4" fillId="0" borderId="0" xfId="0" applyNumberFormat="1" applyFont="1" applyFill="1" applyBorder="1" applyAlignment="1">
      <alignment horizontal="left"/>
    </xf>
    <xf numFmtId="0" fontId="4" fillId="0" borderId="8" xfId="0" applyNumberFormat="1" applyFont="1" applyFill="1" applyBorder="1" applyAlignment="1">
      <alignment horizontal="center"/>
    </xf>
    <xf numFmtId="0" fontId="4" fillId="0" borderId="0" xfId="0" applyNumberFormat="1" applyFont="1" applyFill="1" applyBorder="1" applyAlignment="1">
      <alignment horizontal="center"/>
    </xf>
    <xf numFmtId="0" fontId="4" fillId="0" borderId="9" xfId="0" applyNumberFormat="1" applyFont="1" applyFill="1" applyBorder="1" applyAlignment="1">
      <alignment horizontal="center"/>
    </xf>
    <xf numFmtId="0" fontId="4" fillId="0" borderId="10" xfId="0" applyNumberFormat="1" applyFont="1" applyFill="1" applyBorder="1" applyAlignment="1">
      <alignment horizontal="center"/>
    </xf>
    <xf numFmtId="0" fontId="4" fillId="0" borderId="11" xfId="0" applyNumberFormat="1" applyFont="1" applyFill="1" applyBorder="1" applyAlignment="1">
      <alignment horizontal="left"/>
    </xf>
    <xf numFmtId="0" fontId="4" fillId="0" borderId="12" xfId="0" applyNumberFormat="1" applyFont="1" applyFill="1" applyBorder="1" applyAlignment="1">
      <alignment horizontal="center"/>
    </xf>
    <xf numFmtId="0" fontId="4" fillId="0" borderId="11" xfId="0" applyNumberFormat="1" applyFont="1" applyFill="1" applyBorder="1" applyAlignment="1">
      <alignment horizontal="center"/>
    </xf>
    <xf numFmtId="0" fontId="4" fillId="0" borderId="13" xfId="0" applyNumberFormat="1" applyFont="1" applyFill="1" applyBorder="1" applyAlignment="1">
      <alignment horizontal="center"/>
    </xf>
    <xf numFmtId="0" fontId="4" fillId="0" borderId="11" xfId="0" applyNumberFormat="1" applyFont="1" applyFill="1" applyBorder="1" applyAlignment="1">
      <alignment horizontal="center" vertical="center"/>
    </xf>
    <xf numFmtId="0" fontId="4" fillId="0" borderId="13" xfId="0" applyNumberFormat="1" applyFont="1" applyFill="1" applyBorder="1" applyAlignment="1">
      <alignment horizontal="center" vertical="center"/>
    </xf>
    <xf numFmtId="0" fontId="4" fillId="0" borderId="14" xfId="0" applyFont="1" applyBorder="1" applyAlignment="1">
      <alignment horizontal="center"/>
    </xf>
    <xf numFmtId="0" fontId="8" fillId="0" borderId="0" xfId="0" applyNumberFormat="1" applyFont="1" applyBorder="1" applyAlignment="1"/>
    <xf numFmtId="0" fontId="8" fillId="0" borderId="0" xfId="0" applyNumberFormat="1" applyFont="1" applyAlignment="1"/>
    <xf numFmtId="0" fontId="9" fillId="0" borderId="15" xfId="0" applyNumberFormat="1" applyFont="1" applyFill="1" applyBorder="1" applyAlignment="1">
      <alignment horizontal="left"/>
    </xf>
    <xf numFmtId="164" fontId="9" fillId="0" borderId="16" xfId="0" applyNumberFormat="1" applyFont="1" applyFill="1" applyBorder="1" applyAlignment="1">
      <alignment horizontal="center"/>
    </xf>
    <xf numFmtId="1" fontId="9" fillId="0" borderId="15" xfId="0" applyNumberFormat="1" applyFont="1" applyFill="1" applyBorder="1" applyAlignment="1">
      <alignment horizontal="center"/>
    </xf>
    <xf numFmtId="0" fontId="9" fillId="0" borderId="15" xfId="0" applyFont="1" applyFill="1" applyBorder="1" applyAlignment="1">
      <alignment horizontal="center"/>
    </xf>
    <xf numFmtId="164" fontId="9" fillId="0" borderId="15" xfId="0" applyNumberFormat="1" applyFont="1" applyFill="1" applyBorder="1" applyAlignment="1">
      <alignment horizontal="center"/>
    </xf>
    <xf numFmtId="164" fontId="9" fillId="0" borderId="17" xfId="0" applyNumberFormat="1" applyFont="1" applyFill="1" applyBorder="1" applyAlignment="1">
      <alignment horizontal="center"/>
    </xf>
    <xf numFmtId="2" fontId="9" fillId="0" borderId="17" xfId="0" applyNumberFormat="1" applyFont="1" applyFill="1" applyBorder="1" applyAlignment="1">
      <alignment horizontal="center"/>
    </xf>
    <xf numFmtId="1" fontId="9" fillId="0" borderId="17" xfId="0" applyNumberFormat="1" applyFont="1" applyFill="1" applyBorder="1" applyAlignment="1">
      <alignment horizontal="center"/>
    </xf>
    <xf numFmtId="2" fontId="9" fillId="0" borderId="15" xfId="0" applyNumberFormat="1" applyFont="1" applyFill="1" applyBorder="1" applyAlignment="1">
      <alignment horizontal="center"/>
    </xf>
    <xf numFmtId="0" fontId="9" fillId="0" borderId="15" xfId="0" applyNumberFormat="1" applyFont="1" applyFill="1" applyBorder="1" applyAlignment="1">
      <alignment horizontal="center"/>
    </xf>
    <xf numFmtId="0" fontId="9" fillId="0" borderId="17" xfId="0" applyNumberFormat="1" applyFont="1" applyFill="1" applyBorder="1" applyAlignment="1">
      <alignment horizontal="center"/>
    </xf>
    <xf numFmtId="164" fontId="9" fillId="3" borderId="15" xfId="0" applyNumberFormat="1" applyFont="1" applyFill="1" applyBorder="1" applyAlignment="1">
      <alignment horizontal="center"/>
    </xf>
    <xf numFmtId="0" fontId="9" fillId="0" borderId="19" xfId="0" applyNumberFormat="1" applyFont="1" applyFill="1" applyBorder="1" applyAlignment="1">
      <alignment horizontal="left"/>
    </xf>
    <xf numFmtId="0" fontId="9" fillId="0" borderId="16" xfId="0" applyNumberFormat="1" applyFont="1" applyFill="1" applyBorder="1" applyAlignment="1">
      <alignment horizontal="center"/>
    </xf>
    <xf numFmtId="0" fontId="9" fillId="0" borderId="21" xfId="0" applyNumberFormat="1" applyFont="1" applyFill="1" applyBorder="1" applyAlignment="1">
      <alignment horizontal="center"/>
    </xf>
    <xf numFmtId="164" fontId="9" fillId="0" borderId="21" xfId="0" applyNumberFormat="1" applyFont="1" applyFill="1" applyBorder="1" applyAlignment="1">
      <alignment horizontal="center"/>
    </xf>
    <xf numFmtId="164" fontId="9" fillId="0" borderId="19" xfId="0" applyNumberFormat="1" applyFont="1" applyFill="1" applyBorder="1" applyAlignment="1">
      <alignment horizontal="center"/>
    </xf>
    <xf numFmtId="0" fontId="9" fillId="0" borderId="20" xfId="0" applyNumberFormat="1" applyFont="1" applyFill="1" applyBorder="1" applyAlignment="1">
      <alignment horizontal="center"/>
    </xf>
    <xf numFmtId="0" fontId="9" fillId="0" borderId="22" xfId="0" applyFont="1" applyFill="1" applyBorder="1" applyAlignment="1">
      <alignment horizontal="center"/>
    </xf>
    <xf numFmtId="0" fontId="9" fillId="0" borderId="0" xfId="0" applyFont="1" applyFill="1" applyBorder="1" applyAlignment="1">
      <alignment horizontal="center"/>
    </xf>
    <xf numFmtId="164" fontId="9" fillId="0" borderId="0" xfId="0" applyNumberFormat="1" applyFont="1" applyFill="1" applyBorder="1" applyAlignment="1">
      <alignment horizontal="center"/>
    </xf>
    <xf numFmtId="164" fontId="9" fillId="0" borderId="22" xfId="0" applyNumberFormat="1" applyFont="1" applyFill="1" applyBorder="1" applyAlignment="1">
      <alignment horizontal="center"/>
    </xf>
    <xf numFmtId="1" fontId="9" fillId="0" borderId="18" xfId="0" applyNumberFormat="1" applyFont="1" applyFill="1" applyBorder="1" applyAlignment="1">
      <alignment horizontal="center"/>
    </xf>
    <xf numFmtId="0" fontId="9" fillId="0" borderId="23" xfId="0" applyNumberFormat="1" applyFont="1" applyFill="1" applyBorder="1" applyAlignment="1">
      <alignment horizontal="center"/>
    </xf>
    <xf numFmtId="0" fontId="9" fillId="0" borderId="19" xfId="0" applyNumberFormat="1" applyFont="1" applyFill="1" applyBorder="1" applyAlignment="1">
      <alignment horizontal="center"/>
    </xf>
    <xf numFmtId="0" fontId="9" fillId="0" borderId="0" xfId="0" applyNumberFormat="1" applyFont="1" applyFill="1" applyBorder="1" applyAlignment="1">
      <alignment horizontal="center"/>
    </xf>
    <xf numFmtId="164" fontId="9" fillId="3" borderId="20" xfId="0" applyNumberFormat="1" applyFont="1" applyFill="1" applyBorder="1" applyAlignment="1">
      <alignment horizontal="center"/>
    </xf>
    <xf numFmtId="164" fontId="9" fillId="3" borderId="24" xfId="0" applyNumberFormat="1" applyFont="1" applyFill="1" applyBorder="1" applyAlignment="1">
      <alignment horizontal="center"/>
    </xf>
    <xf numFmtId="0" fontId="9" fillId="0" borderId="22" xfId="0" applyNumberFormat="1" applyFont="1" applyFill="1" applyBorder="1" applyAlignment="1">
      <alignment horizontal="center"/>
    </xf>
    <xf numFmtId="0" fontId="9" fillId="0" borderId="15" xfId="0" applyFont="1" applyFill="1" applyBorder="1" applyAlignment="1">
      <alignment horizontal="left"/>
    </xf>
    <xf numFmtId="0" fontId="9" fillId="0" borderId="16" xfId="0" applyFont="1" applyFill="1" applyBorder="1" applyAlignment="1">
      <alignment horizontal="center"/>
    </xf>
    <xf numFmtId="0" fontId="9" fillId="0" borderId="17" xfId="0" applyFont="1" applyFill="1" applyBorder="1" applyAlignment="1">
      <alignment horizontal="center"/>
    </xf>
    <xf numFmtId="1" fontId="9" fillId="0" borderId="16" xfId="0" applyNumberFormat="1" applyFont="1" applyFill="1" applyBorder="1" applyAlignment="1">
      <alignment horizontal="center"/>
    </xf>
    <xf numFmtId="2" fontId="9" fillId="0" borderId="16" xfId="0" applyNumberFormat="1" applyFont="1" applyFill="1" applyBorder="1" applyAlignment="1">
      <alignment horizontal="center"/>
    </xf>
    <xf numFmtId="0" fontId="9" fillId="0" borderId="15" xfId="0" applyNumberFormat="1" applyFont="1" applyBorder="1" applyAlignment="1">
      <alignment horizontal="center"/>
    </xf>
    <xf numFmtId="0" fontId="9" fillId="0" borderId="19" xfId="0" applyFont="1" applyBorder="1" applyAlignment="1">
      <alignment horizontal="left"/>
    </xf>
    <xf numFmtId="2" fontId="9" fillId="0" borderId="19" xfId="0" applyNumberFormat="1" applyFont="1" applyFill="1" applyBorder="1" applyAlignment="1">
      <alignment horizontal="center"/>
    </xf>
    <xf numFmtId="1" fontId="9" fillId="0" borderId="25" xfId="0" applyNumberFormat="1" applyFont="1" applyFill="1" applyBorder="1" applyAlignment="1">
      <alignment horizontal="center"/>
    </xf>
    <xf numFmtId="0" fontId="9" fillId="0" borderId="21" xfId="0" applyFont="1" applyFill="1" applyBorder="1" applyAlignment="1">
      <alignment horizontal="center"/>
    </xf>
    <xf numFmtId="0" fontId="9" fillId="0" borderId="20" xfId="0" applyFont="1" applyFill="1" applyBorder="1" applyAlignment="1">
      <alignment horizontal="center"/>
    </xf>
    <xf numFmtId="164" fontId="9" fillId="0" borderId="23" xfId="0" applyNumberFormat="1" applyFont="1" applyFill="1" applyBorder="1" applyAlignment="1">
      <alignment horizontal="center"/>
    </xf>
    <xf numFmtId="0" fontId="9" fillId="0" borderId="19" xfId="0" applyFont="1" applyFill="1" applyBorder="1" applyAlignment="1">
      <alignment horizontal="left"/>
    </xf>
    <xf numFmtId="1" fontId="9" fillId="0" borderId="23" xfId="0" applyNumberFormat="1" applyFont="1" applyFill="1" applyBorder="1" applyAlignment="1">
      <alignment horizontal="center"/>
    </xf>
    <xf numFmtId="0" fontId="9" fillId="0" borderId="19" xfId="0" applyFont="1" applyFill="1" applyBorder="1" applyAlignment="1">
      <alignment horizontal="center"/>
    </xf>
    <xf numFmtId="0" fontId="0" fillId="0" borderId="15" xfId="0" applyBorder="1"/>
    <xf numFmtId="0" fontId="9" fillId="0" borderId="24" xfId="0" applyNumberFormat="1" applyFont="1" applyFill="1" applyBorder="1" applyAlignment="1">
      <alignment horizontal="center"/>
    </xf>
    <xf numFmtId="164" fontId="9" fillId="3" borderId="22" xfId="0" applyNumberFormat="1" applyFont="1" applyFill="1" applyBorder="1" applyAlignment="1">
      <alignment horizontal="center"/>
    </xf>
    <xf numFmtId="2" fontId="9" fillId="0" borderId="24" xfId="0" applyNumberFormat="1" applyFont="1" applyFill="1" applyBorder="1" applyAlignment="1">
      <alignment horizontal="center"/>
    </xf>
    <xf numFmtId="0" fontId="0" fillId="4" borderId="0" xfId="0" applyFill="1"/>
    <xf numFmtId="11" fontId="0" fillId="0" borderId="0" xfId="0" applyNumberFormat="1"/>
    <xf numFmtId="0" fontId="0" fillId="0" borderId="26" xfId="0" applyBorder="1"/>
    <xf numFmtId="0" fontId="8" fillId="0" borderId="7" xfId="0" applyNumberFormat="1" applyFont="1" applyBorder="1" applyAlignment="1"/>
    <xf numFmtId="165" fontId="0" fillId="0" borderId="0" xfId="0" applyNumberFormat="1"/>
    <xf numFmtId="166" fontId="0" fillId="0" borderId="0" xfId="0" applyNumberFormat="1"/>
    <xf numFmtId="0" fontId="0" fillId="0" borderId="7" xfId="0" applyBorder="1" applyAlignment="1"/>
    <xf numFmtId="10" fontId="0" fillId="0" borderId="7" xfId="0" applyNumberFormat="1" applyBorder="1" applyAlignment="1"/>
    <xf numFmtId="167" fontId="0" fillId="0" borderId="26" xfId="0" applyNumberFormat="1" applyBorder="1"/>
    <xf numFmtId="167" fontId="0" fillId="0" borderId="7" xfId="0" applyNumberFormat="1" applyBorder="1"/>
    <xf numFmtId="0" fontId="0" fillId="0" borderId="7" xfId="0" applyNumberFormat="1" applyBorder="1"/>
    <xf numFmtId="0" fontId="0" fillId="4" borderId="7" xfId="0" applyFill="1" applyBorder="1"/>
    <xf numFmtId="0" fontId="0" fillId="5" borderId="0" xfId="0" applyFill="1"/>
    <xf numFmtId="0" fontId="10" fillId="0" borderId="0" xfId="0" applyFont="1"/>
    <xf numFmtId="0" fontId="0" fillId="5" borderId="0" xfId="0" applyFill="1" applyAlignment="1">
      <alignment wrapText="1"/>
    </xf>
    <xf numFmtId="0" fontId="1" fillId="5" borderId="1" xfId="0" applyFont="1" applyFill="1" applyBorder="1" applyAlignment="1">
      <alignment horizontal="left" vertical="center" wrapText="1"/>
    </xf>
    <xf numFmtId="49" fontId="0" fillId="0" borderId="0" xfId="0" applyNumberFormat="1"/>
    <xf numFmtId="0" fontId="11" fillId="0" borderId="0" xfId="0" applyFont="1"/>
    <xf numFmtId="0" fontId="0" fillId="6" borderId="7" xfId="0" applyFill="1" applyBorder="1"/>
    <xf numFmtId="2" fontId="0" fillId="6" borderId="7" xfId="0" applyNumberFormat="1" applyFill="1" applyBorder="1"/>
    <xf numFmtId="0" fontId="12" fillId="4" borderId="0" xfId="0" applyFont="1" applyFill="1"/>
    <xf numFmtId="11" fontId="0" fillId="0" borderId="2" xfId="0" applyNumberFormat="1" applyBorder="1"/>
    <xf numFmtId="11" fontId="0" fillId="0" borderId="4" xfId="0" applyNumberFormat="1" applyBorder="1"/>
    <xf numFmtId="0" fontId="11" fillId="0" borderId="5" xfId="0" applyFont="1" applyBorder="1"/>
    <xf numFmtId="171" fontId="0" fillId="0" borderId="0" xfId="0" applyNumberFormat="1"/>
    <xf numFmtId="0" fontId="0" fillId="7" borderId="27" xfId="0" applyFill="1" applyBorder="1"/>
    <xf numFmtId="0" fontId="0" fillId="7" borderId="28" xfId="0" applyFill="1" applyBorder="1"/>
    <xf numFmtId="0" fontId="0" fillId="7" borderId="29" xfId="0" applyFill="1" applyBorder="1"/>
    <xf numFmtId="0" fontId="0" fillId="7" borderId="30" xfId="0" applyFill="1" applyBorder="1"/>
    <xf numFmtId="0" fontId="0" fillId="7" borderId="0" xfId="0" applyFill="1" applyBorder="1"/>
    <xf numFmtId="0" fontId="0" fillId="7" borderId="31" xfId="0" applyFill="1" applyBorder="1"/>
    <xf numFmtId="0" fontId="16" fillId="7" borderId="0" xfId="0" applyFont="1" applyFill="1" applyBorder="1"/>
    <xf numFmtId="0" fontId="15" fillId="7" borderId="0" xfId="0" applyFont="1" applyFill="1" applyBorder="1"/>
    <xf numFmtId="0" fontId="14" fillId="7" borderId="7" xfId="0" applyFont="1" applyFill="1" applyBorder="1"/>
    <xf numFmtId="0" fontId="0" fillId="7" borderId="7" xfId="0" applyFill="1" applyBorder="1"/>
    <xf numFmtId="171" fontId="0" fillId="7" borderId="7" xfId="0" applyNumberFormat="1" applyFill="1" applyBorder="1"/>
    <xf numFmtId="170" fontId="0" fillId="7" borderId="7" xfId="0" applyNumberFormat="1" applyFill="1" applyBorder="1"/>
    <xf numFmtId="169" fontId="0" fillId="7" borderId="7" xfId="0" applyNumberFormat="1" applyFill="1" applyBorder="1"/>
    <xf numFmtId="168" fontId="0" fillId="7" borderId="7" xfId="0" applyNumberFormat="1" applyFill="1" applyBorder="1"/>
    <xf numFmtId="0" fontId="0" fillId="7" borderId="32" xfId="0" applyFill="1" applyBorder="1"/>
    <xf numFmtId="0" fontId="0" fillId="7" borderId="33" xfId="0" applyFill="1" applyBorder="1"/>
    <xf numFmtId="0" fontId="0" fillId="7" borderId="34" xfId="0" applyFill="1" applyBorder="1"/>
    <xf numFmtId="0" fontId="0" fillId="8" borderId="7" xfId="0" applyFill="1" applyBorder="1"/>
    <xf numFmtId="0" fontId="0" fillId="9" borderId="0" xfId="0" applyFill="1" applyBorder="1"/>
    <xf numFmtId="173" fontId="0" fillId="7" borderId="7" xfId="0" applyNumberFormat="1" applyFill="1" applyBorder="1"/>
    <xf numFmtId="174" fontId="0" fillId="7" borderId="7" xfId="0" applyNumberFormat="1" applyFill="1" applyBorder="1"/>
    <xf numFmtId="172" fontId="0" fillId="7" borderId="7" xfId="0" applyNumberFormat="1" applyFill="1" applyBorder="1"/>
    <xf numFmtId="175" fontId="18" fillId="7" borderId="7" xfId="0" applyNumberFormat="1" applyFont="1" applyFill="1" applyBorder="1"/>
    <xf numFmtId="172" fontId="0" fillId="8" borderId="7" xfId="0" applyNumberFormat="1" applyFill="1" applyBorder="1"/>
    <xf numFmtId="0" fontId="0" fillId="5" borderId="0" xfId="0" applyFont="1" applyFill="1" applyBorder="1"/>
    <xf numFmtId="0" fontId="0" fillId="7" borderId="36" xfId="0" applyFill="1" applyBorder="1"/>
    <xf numFmtId="0" fontId="19" fillId="8" borderId="0" xfId="0" applyFont="1" applyFill="1" applyBorder="1"/>
    <xf numFmtId="0" fontId="14" fillId="5" borderId="7" xfId="0" applyFont="1" applyFill="1" applyBorder="1"/>
    <xf numFmtId="0" fontId="0" fillId="5" borderId="7" xfId="0" applyFill="1" applyBorder="1"/>
    <xf numFmtId="0" fontId="0" fillId="5" borderId="7" xfId="0" applyFont="1" applyFill="1" applyBorder="1"/>
    <xf numFmtId="0" fontId="0" fillId="5" borderId="35" xfId="0" applyFont="1" applyFill="1" applyBorder="1"/>
    <xf numFmtId="0" fontId="0" fillId="7" borderId="7" xfId="0" applyNumberFormat="1" applyFill="1" applyBorder="1"/>
    <xf numFmtId="0" fontId="2" fillId="4" borderId="0" xfId="0" applyFont="1" applyFill="1" applyAlignment="1">
      <alignment horizontal="center"/>
    </xf>
    <xf numFmtId="0" fontId="0" fillId="5" borderId="7" xfId="0" applyFill="1" applyBorder="1" applyAlignment="1">
      <alignment horizontal="center"/>
    </xf>
    <xf numFmtId="0" fontId="0" fillId="8" borderId="7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5E-2"/>
          <c:y val="0.08"/>
          <c:w val="0.89"/>
          <c:h val="0.89"/>
        </c:manualLayout>
      </c:layout>
      <c:scatterChart>
        <c:scatterStyle val="lineMarker"/>
        <c:varyColors val="0"/>
        <c:ser>
          <c:idx val="0"/>
          <c:order val="0"/>
          <c:tx>
            <c:v>ID 1 :Rectangle 160 x 1120 @( 0 , -80)</c:v>
          </c:tx>
          <c:spPr>
            <a:ln w="19050" cap="rnd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5"/>
              <c:pt idx="0">
                <c:v>-560</c:v>
              </c:pt>
              <c:pt idx="1">
                <c:v>-560</c:v>
              </c:pt>
              <c:pt idx="2">
                <c:v>560</c:v>
              </c:pt>
              <c:pt idx="3">
                <c:v>560</c:v>
              </c:pt>
              <c:pt idx="4">
                <c:v>-560</c:v>
              </c:pt>
            </c:numLit>
          </c:xVal>
          <c:yVal>
            <c:numLit>
              <c:formatCode>General</c:formatCode>
              <c:ptCount val="5"/>
              <c:pt idx="0">
                <c:v>0</c:v>
              </c:pt>
              <c:pt idx="1">
                <c:v>-160</c:v>
              </c:pt>
              <c:pt idx="2">
                <c:v>-160</c:v>
              </c:pt>
              <c:pt idx="3">
                <c:v>0</c:v>
              </c:pt>
              <c:pt idx="4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C3BD-48A9-AD0B-B2D9A9B8BAA0}"/>
            </c:ext>
          </c:extLst>
        </c:ser>
        <c:ser>
          <c:idx val="1"/>
          <c:order val="1"/>
          <c:tx>
            <c:v>ID 2 :Rectangle 160 x 51.7036848375632 @( 0 , -80)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5"/>
              <c:pt idx="0">
                <c:v>-25.851842418781597</c:v>
              </c:pt>
              <c:pt idx="1">
                <c:v>-25.851842418781597</c:v>
              </c:pt>
              <c:pt idx="2">
                <c:v>25.851842418781597</c:v>
              </c:pt>
              <c:pt idx="3">
                <c:v>25.851842418781597</c:v>
              </c:pt>
              <c:pt idx="4">
                <c:v>-25.851842418781597</c:v>
              </c:pt>
            </c:numLit>
          </c:xVal>
          <c:yVal>
            <c:numLit>
              <c:formatCode>General</c:formatCode>
              <c:ptCount val="5"/>
              <c:pt idx="0">
                <c:v>0</c:v>
              </c:pt>
              <c:pt idx="1">
                <c:v>-160</c:v>
              </c:pt>
              <c:pt idx="2">
                <c:v>-160</c:v>
              </c:pt>
              <c:pt idx="3">
                <c:v>0</c:v>
              </c:pt>
              <c:pt idx="4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C3BD-48A9-AD0B-B2D9A9B8BAA0}"/>
            </c:ext>
          </c:extLst>
        </c:ser>
        <c:ser>
          <c:idx val="2"/>
          <c:order val="2"/>
          <c:tx>
            <c:v>ID 3 :Rectangle 0 x 1120 @( 0 , -246.003863399987)</c:v>
          </c:tx>
          <c:spPr>
            <a:ln w="952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5"/>
              <c:pt idx="0">
                <c:v>-560</c:v>
              </c:pt>
              <c:pt idx="1">
                <c:v>-560</c:v>
              </c:pt>
              <c:pt idx="2">
                <c:v>560</c:v>
              </c:pt>
              <c:pt idx="3">
                <c:v>560</c:v>
              </c:pt>
              <c:pt idx="4">
                <c:v>-560</c:v>
              </c:pt>
            </c:numLit>
          </c:xVal>
          <c:yVal>
            <c:numLit>
              <c:formatCode>General</c:formatCode>
              <c:ptCount val="5"/>
              <c:pt idx="0">
                <c:v>-246.00386339998684</c:v>
              </c:pt>
              <c:pt idx="1">
                <c:v>-246.00386339998684</c:v>
              </c:pt>
              <c:pt idx="2">
                <c:v>-246.00386339998684</c:v>
              </c:pt>
              <c:pt idx="3">
                <c:v>-246.00386339998684</c:v>
              </c:pt>
              <c:pt idx="4">
                <c:v>-246.00386339998684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C3BD-48A9-AD0B-B2D9A9B8BAA0}"/>
            </c:ext>
          </c:extLst>
        </c:ser>
        <c:ser>
          <c:idx val="3"/>
          <c:order val="3"/>
          <c:tx>
            <c:v>ID 4 :Profile IPE450 @( 0 , -385)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3"/>
              <c:pt idx="0">
                <c:v>-95</c:v>
              </c:pt>
              <c:pt idx="1">
                <c:v>-95</c:v>
              </c:pt>
              <c:pt idx="2">
                <c:v>-4.7</c:v>
              </c:pt>
              <c:pt idx="3">
                <c:v>-4.7</c:v>
              </c:pt>
              <c:pt idx="4">
                <c:v>-95</c:v>
              </c:pt>
              <c:pt idx="5">
                <c:v>-95</c:v>
              </c:pt>
              <c:pt idx="6">
                <c:v>95</c:v>
              </c:pt>
              <c:pt idx="7">
                <c:v>95</c:v>
              </c:pt>
              <c:pt idx="8">
                <c:v>4.7</c:v>
              </c:pt>
              <c:pt idx="9">
                <c:v>4.7</c:v>
              </c:pt>
              <c:pt idx="10">
                <c:v>95</c:v>
              </c:pt>
              <c:pt idx="11">
                <c:v>95</c:v>
              </c:pt>
              <c:pt idx="12">
                <c:v>-95</c:v>
              </c:pt>
            </c:numLit>
          </c:xVal>
          <c:yVal>
            <c:numLit>
              <c:formatCode>General</c:formatCode>
              <c:ptCount val="13"/>
              <c:pt idx="0">
                <c:v>-160</c:v>
              </c:pt>
              <c:pt idx="1">
                <c:v>-174.6</c:v>
              </c:pt>
              <c:pt idx="2">
                <c:v>-174.6</c:v>
              </c:pt>
              <c:pt idx="3">
                <c:v>-595.4</c:v>
              </c:pt>
              <c:pt idx="4">
                <c:v>-595.4</c:v>
              </c:pt>
              <c:pt idx="5">
                <c:v>-610</c:v>
              </c:pt>
              <c:pt idx="6">
                <c:v>-610</c:v>
              </c:pt>
              <c:pt idx="7">
                <c:v>-595.4</c:v>
              </c:pt>
              <c:pt idx="8">
                <c:v>-595.4</c:v>
              </c:pt>
              <c:pt idx="9">
                <c:v>-174.6</c:v>
              </c:pt>
              <c:pt idx="10">
                <c:v>-174.6</c:v>
              </c:pt>
              <c:pt idx="11">
                <c:v>-160</c:v>
              </c:pt>
              <c:pt idx="12">
                <c:v>-160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C3BD-48A9-AD0B-B2D9A9B8BA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3731144"/>
        <c:axId val="663733112"/>
      </c:scatterChart>
      <c:valAx>
        <c:axId val="663731144"/>
        <c:scaling>
          <c:orientation val="minMax"/>
          <c:max val="610"/>
          <c:min val="-610"/>
        </c:scaling>
        <c:delete val="1"/>
        <c:axPos val="b"/>
        <c:numFmt formatCode="General" sourceLinked="1"/>
        <c:majorTickMark val="none"/>
        <c:minorTickMark val="none"/>
        <c:tickLblPos val="nextTo"/>
        <c:crossAx val="663733112"/>
        <c:crosses val="autoZero"/>
        <c:crossBetween val="midCat"/>
      </c:valAx>
      <c:valAx>
        <c:axId val="663733112"/>
        <c:scaling>
          <c:orientation val="minMax"/>
          <c:max val="610"/>
          <c:min val="-610"/>
        </c:scaling>
        <c:delete val="1"/>
        <c:axPos val="l"/>
        <c:numFmt formatCode="General" sourceLinked="1"/>
        <c:majorTickMark val="none"/>
        <c:minorTickMark val="none"/>
        <c:tickLblPos val="nextTo"/>
        <c:crossAx val="6637311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2700000" scaled="1"/>
      <a:tileRect/>
    </a:gra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361950</xdr:colOff>
          <xdr:row>2</xdr:row>
          <xdr:rowOff>161925</xdr:rowOff>
        </xdr:from>
        <xdr:to>
          <xdr:col>6</xdr:col>
          <xdr:colOff>342900</xdr:colOff>
          <xdr:row>4</xdr:row>
          <xdr:rowOff>161925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1</xdr:row>
          <xdr:rowOff>28575</xdr:rowOff>
        </xdr:from>
        <xdr:to>
          <xdr:col>3</xdr:col>
          <xdr:colOff>438150</xdr:colOff>
          <xdr:row>4</xdr:row>
          <xdr:rowOff>152400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660400</xdr:colOff>
      <xdr:row>22</xdr:row>
      <xdr:rowOff>88900</xdr:rowOff>
    </xdr:from>
    <xdr:to>
      <xdr:col>11</xdr:col>
      <xdr:colOff>666750</xdr:colOff>
      <xdr:row>34</xdr:row>
      <xdr:rowOff>180975</xdr:rowOff>
    </xdr:to>
    <xdr:graphicFrame macro="">
      <xdr:nvGraphicFramePr>
        <xdr:cNvPr id="2" name="cs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cc_2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AZ253"/>
  <sheetViews>
    <sheetView topLeftCell="AA1" workbookViewId="0">
      <pane ySplit="8" topLeftCell="A9" activePane="bottomLeft" state="frozen"/>
      <selection pane="bottomLeft" activeCell="AN31" sqref="AN31"/>
    </sheetView>
  </sheetViews>
  <sheetFormatPr defaultRowHeight="15" x14ac:dyDescent="0.25"/>
  <cols>
    <col min="27" max="27" width="9.42578125" bestFit="1" customWidth="1"/>
    <col min="28" max="29" width="11" bestFit="1" customWidth="1"/>
    <col min="30" max="31" width="9.28515625" bestFit="1" customWidth="1"/>
    <col min="32" max="32" width="10.5703125" bestFit="1" customWidth="1"/>
    <col min="33" max="33" width="7" customWidth="1"/>
    <col min="37" max="38" width="11" bestFit="1" customWidth="1"/>
  </cols>
  <sheetData>
    <row r="3" spans="1:41" x14ac:dyDescent="0.25">
      <c r="A3" s="128" t="s">
        <v>90</v>
      </c>
      <c r="B3" s="128"/>
      <c r="C3" s="128"/>
      <c r="D3" s="128"/>
      <c r="E3" s="128"/>
      <c r="F3" s="128"/>
      <c r="G3" s="128"/>
      <c r="H3" s="128"/>
      <c r="I3" s="128"/>
      <c r="J3" s="128"/>
      <c r="K3" s="128"/>
      <c r="L3" s="128"/>
      <c r="M3" s="128"/>
      <c r="N3" s="128"/>
      <c r="O3" s="128"/>
      <c r="P3" s="128"/>
      <c r="Q3" s="128"/>
      <c r="R3" s="128"/>
      <c r="S3" s="128"/>
      <c r="T3" s="128"/>
      <c r="U3" s="128"/>
      <c r="V3" s="128"/>
      <c r="Z3" s="71" t="s">
        <v>397</v>
      </c>
      <c r="AA3" s="71"/>
      <c r="AB3" s="71"/>
      <c r="AC3" s="71"/>
      <c r="AD3" s="71"/>
      <c r="AE3" s="71"/>
      <c r="AF3" s="71"/>
      <c r="AG3" s="71"/>
      <c r="AH3" s="71"/>
      <c r="AI3" s="71"/>
      <c r="AJ3" s="71"/>
      <c r="AK3" s="71"/>
      <c r="AL3" s="71"/>
      <c r="AM3" s="71"/>
    </row>
    <row r="5" spans="1:41" x14ac:dyDescent="0.25">
      <c r="H5">
        <v>100</v>
      </c>
      <c r="K5" s="72">
        <v>10000</v>
      </c>
      <c r="L5" s="72">
        <v>1000</v>
      </c>
      <c r="M5">
        <v>10</v>
      </c>
      <c r="N5" s="72">
        <v>1000000000</v>
      </c>
    </row>
    <row r="6" spans="1:41" ht="19.5" x14ac:dyDescent="0.35">
      <c r="A6" s="9"/>
      <c r="B6" s="10" t="s">
        <v>91</v>
      </c>
      <c r="C6" s="11" t="s">
        <v>92</v>
      </c>
      <c r="D6" s="11" t="s">
        <v>39</v>
      </c>
      <c r="E6" s="11" t="s">
        <v>93</v>
      </c>
      <c r="F6" s="11" t="s">
        <v>94</v>
      </c>
      <c r="G6" s="12" t="s">
        <v>70</v>
      </c>
      <c r="H6" s="12" t="s">
        <v>95</v>
      </c>
      <c r="I6" s="11" t="s">
        <v>96</v>
      </c>
      <c r="J6" s="11" t="s">
        <v>97</v>
      </c>
      <c r="K6" s="11" t="s">
        <v>98</v>
      </c>
      <c r="L6" s="11" t="s">
        <v>99</v>
      </c>
      <c r="M6" s="11" t="s">
        <v>159</v>
      </c>
      <c r="N6" s="11" t="s">
        <v>100</v>
      </c>
      <c r="O6" s="12" t="s">
        <v>101</v>
      </c>
      <c r="P6" s="11" t="s">
        <v>102</v>
      </c>
      <c r="Q6" s="11" t="s">
        <v>103</v>
      </c>
      <c r="R6" s="11" t="s">
        <v>158</v>
      </c>
      <c r="S6" s="12" t="s">
        <v>104</v>
      </c>
      <c r="T6" s="11" t="s">
        <v>105</v>
      </c>
      <c r="U6" s="11" t="s">
        <v>106</v>
      </c>
      <c r="V6" s="13" t="s">
        <v>107</v>
      </c>
    </row>
    <row r="7" spans="1:41" x14ac:dyDescent="0.25">
      <c r="A7" s="9"/>
      <c r="B7" s="10" t="s">
        <v>108</v>
      </c>
      <c r="C7" s="11" t="s">
        <v>109</v>
      </c>
      <c r="D7" s="11" t="s">
        <v>110</v>
      </c>
      <c r="E7" s="11" t="s">
        <v>110</v>
      </c>
      <c r="F7" s="11" t="s">
        <v>110</v>
      </c>
      <c r="G7" s="12" t="s">
        <v>110</v>
      </c>
      <c r="H7" s="12" t="s">
        <v>111</v>
      </c>
      <c r="I7" s="11" t="s">
        <v>110</v>
      </c>
      <c r="J7" s="11" t="s">
        <v>110</v>
      </c>
      <c r="K7" s="11" t="s">
        <v>112</v>
      </c>
      <c r="L7" s="11" t="s">
        <v>113</v>
      </c>
      <c r="M7" s="11" t="s">
        <v>113</v>
      </c>
      <c r="N7" s="11" t="s">
        <v>110</v>
      </c>
      <c r="O7" s="12" t="s">
        <v>114</v>
      </c>
      <c r="P7" s="11" t="s">
        <v>115</v>
      </c>
      <c r="Q7" s="11" t="s">
        <v>113</v>
      </c>
      <c r="R7" s="11" t="s">
        <v>113</v>
      </c>
      <c r="S7" s="12" t="s">
        <v>110</v>
      </c>
      <c r="T7" s="11" t="s">
        <v>110</v>
      </c>
      <c r="U7" s="11" t="s">
        <v>115</v>
      </c>
      <c r="V7" s="13" t="s">
        <v>116</v>
      </c>
      <c r="Z7" t="s">
        <v>399</v>
      </c>
      <c r="AA7" s="77" t="s">
        <v>398</v>
      </c>
      <c r="AB7" s="77" t="s">
        <v>398</v>
      </c>
      <c r="AC7" s="77" t="s">
        <v>398</v>
      </c>
      <c r="AD7" s="77" t="s">
        <v>398</v>
      </c>
      <c r="AE7" s="77" t="s">
        <v>398</v>
      </c>
      <c r="AF7" s="77" t="s">
        <v>398</v>
      </c>
      <c r="AG7" s="77" t="s">
        <v>398</v>
      </c>
      <c r="AH7" s="78"/>
      <c r="AI7" s="78"/>
      <c r="AJ7" s="78"/>
      <c r="AK7" s="78"/>
      <c r="AL7" s="78"/>
      <c r="AM7" s="78"/>
      <c r="AN7" s="78"/>
    </row>
    <row r="8" spans="1:41" ht="15.75" thickBot="1" x14ac:dyDescent="0.3">
      <c r="A8" s="14"/>
      <c r="B8" s="15"/>
      <c r="C8" s="16"/>
      <c r="D8" s="16"/>
      <c r="E8" s="16"/>
      <c r="F8" s="16"/>
      <c r="G8" s="17"/>
      <c r="H8" s="17"/>
      <c r="I8" s="16"/>
      <c r="J8" s="16"/>
      <c r="K8" s="16"/>
      <c r="L8" s="16"/>
      <c r="M8" s="16"/>
      <c r="N8" s="18"/>
      <c r="O8" s="17"/>
      <c r="P8" s="16"/>
      <c r="Q8" s="16"/>
      <c r="R8" s="16"/>
      <c r="S8" s="19"/>
      <c r="T8" s="16"/>
      <c r="U8" s="16"/>
      <c r="V8" s="20"/>
      <c r="Z8" s="7" t="s">
        <v>377</v>
      </c>
      <c r="AA8" s="7" t="s">
        <v>51</v>
      </c>
      <c r="AB8" s="7" t="s">
        <v>396</v>
      </c>
      <c r="AC8" s="7" t="s">
        <v>378</v>
      </c>
      <c r="AD8" s="7" t="s">
        <v>379</v>
      </c>
      <c r="AE8" s="7" t="s">
        <v>380</v>
      </c>
      <c r="AF8" s="7" t="s">
        <v>381</v>
      </c>
      <c r="AG8" s="7" t="s">
        <v>60</v>
      </c>
      <c r="AH8" s="7" t="s">
        <v>384</v>
      </c>
      <c r="AI8" s="7" t="s">
        <v>382</v>
      </c>
      <c r="AJ8" s="7" t="s">
        <v>385</v>
      </c>
      <c r="AK8" s="7" t="s">
        <v>383</v>
      </c>
      <c r="AL8" s="7" t="s">
        <v>386</v>
      </c>
      <c r="AM8" s="7" t="s">
        <v>387</v>
      </c>
      <c r="AN8" s="7" t="s">
        <v>388</v>
      </c>
    </row>
    <row r="9" spans="1:41" ht="15.75" thickTop="1" x14ac:dyDescent="0.25">
      <c r="A9" s="21"/>
      <c r="B9" s="21">
        <v>1</v>
      </c>
      <c r="C9" s="22">
        <v>2</v>
      </c>
      <c r="D9" s="21">
        <v>3</v>
      </c>
      <c r="E9" s="22">
        <v>4</v>
      </c>
      <c r="F9" s="21">
        <v>5</v>
      </c>
      <c r="G9" s="22">
        <v>6</v>
      </c>
      <c r="H9" s="21">
        <v>7</v>
      </c>
      <c r="I9" s="22">
        <v>8</v>
      </c>
      <c r="J9" s="21">
        <v>9</v>
      </c>
      <c r="K9" s="22">
        <v>10</v>
      </c>
      <c r="L9" s="21">
        <v>11</v>
      </c>
      <c r="M9" s="22">
        <v>12</v>
      </c>
      <c r="N9" s="21">
        <v>13</v>
      </c>
      <c r="O9" s="22">
        <v>14</v>
      </c>
      <c r="P9" s="21">
        <v>15</v>
      </c>
      <c r="Q9" s="22">
        <v>16</v>
      </c>
      <c r="R9" s="21">
        <v>17</v>
      </c>
      <c r="S9" s="22">
        <v>18</v>
      </c>
      <c r="T9" s="21">
        <v>19</v>
      </c>
      <c r="U9" s="22">
        <v>20</v>
      </c>
      <c r="V9" s="21">
        <v>21</v>
      </c>
      <c r="W9" s="22">
        <v>22</v>
      </c>
      <c r="Y9" s="72"/>
      <c r="Z9" s="74">
        <v>1</v>
      </c>
      <c r="AA9" s="74">
        <v>2</v>
      </c>
      <c r="AB9" s="74">
        <v>3</v>
      </c>
      <c r="AC9" s="74">
        <v>4</v>
      </c>
      <c r="AD9" s="74">
        <v>5</v>
      </c>
      <c r="AE9" s="74">
        <v>6</v>
      </c>
      <c r="AF9" s="74">
        <v>7</v>
      </c>
      <c r="AG9" s="74">
        <v>8</v>
      </c>
      <c r="AH9">
        <v>8.9999999999999993E-3</v>
      </c>
      <c r="AI9">
        <v>1.0000000000000002E-2</v>
      </c>
      <c r="AJ9">
        <v>1.1000000000000001E-2</v>
      </c>
      <c r="AK9">
        <v>1.2E-2</v>
      </c>
      <c r="AL9">
        <v>1.3000000000000001E-2</v>
      </c>
      <c r="AM9">
        <v>1.4000000000000002E-2</v>
      </c>
      <c r="AN9">
        <v>1.4999999999999999E-2</v>
      </c>
      <c r="AO9" s="22">
        <v>16</v>
      </c>
    </row>
    <row r="10" spans="1:41" x14ac:dyDescent="0.25">
      <c r="A10" s="23" t="s">
        <v>161</v>
      </c>
      <c r="B10" s="24">
        <v>137</v>
      </c>
      <c r="C10" s="25">
        <v>753</v>
      </c>
      <c r="D10" s="26">
        <v>263</v>
      </c>
      <c r="E10" s="27">
        <v>11.5</v>
      </c>
      <c r="F10" s="27">
        <v>17</v>
      </c>
      <c r="G10" s="28">
        <v>17</v>
      </c>
      <c r="H10">
        <v>17500</v>
      </c>
      <c r="I10" s="27">
        <v>719</v>
      </c>
      <c r="J10" s="27">
        <v>685</v>
      </c>
      <c r="K10" s="72">
        <v>1599000000</v>
      </c>
      <c r="L10" s="72">
        <v>4246000</v>
      </c>
      <c r="M10" s="72">
        <v>4865000</v>
      </c>
      <c r="N10">
        <v>302.60000000000002</v>
      </c>
      <c r="O10">
        <v>9290</v>
      </c>
      <c r="P10" s="72">
        <v>51660000</v>
      </c>
      <c r="Q10" s="72">
        <v>392800</v>
      </c>
      <c r="R10" s="72">
        <v>614100</v>
      </c>
      <c r="S10">
        <v>54.400000000000006</v>
      </c>
      <c r="T10" s="27">
        <v>65.42</v>
      </c>
      <c r="U10" s="72">
        <v>1371000</v>
      </c>
      <c r="V10" s="72">
        <v>6980000000000</v>
      </c>
      <c r="W10" t="s">
        <v>369</v>
      </c>
      <c r="Y10" s="72"/>
      <c r="Z10" s="73" t="s">
        <v>389</v>
      </c>
      <c r="AA10" s="79">
        <v>12</v>
      </c>
      <c r="AB10" s="79">
        <v>15</v>
      </c>
      <c r="AC10" s="79">
        <v>20</v>
      </c>
      <c r="AD10" s="79">
        <v>1.6</v>
      </c>
      <c r="AE10" s="79">
        <v>1.1000000000000001</v>
      </c>
      <c r="AF10" s="79">
        <v>2</v>
      </c>
      <c r="AG10">
        <v>27000</v>
      </c>
      <c r="AH10">
        <v>1.8000000000000004E-3</v>
      </c>
      <c r="AI10">
        <v>3.5000000000000005E-3</v>
      </c>
      <c r="AJ10">
        <v>2E-3</v>
      </c>
      <c r="AK10">
        <v>3.5000000000000005E-3</v>
      </c>
      <c r="AL10">
        <v>2E-3</v>
      </c>
      <c r="AM10">
        <v>1.7500000000000003E-3</v>
      </c>
      <c r="AN10">
        <v>3.5000000000000005E-3</v>
      </c>
      <c r="AO10" t="str">
        <f>W10</f>
        <v>prameter err</v>
      </c>
    </row>
    <row r="11" spans="1:41" x14ac:dyDescent="0.25">
      <c r="A11" s="23" t="s">
        <v>165</v>
      </c>
      <c r="B11" s="36">
        <v>249</v>
      </c>
      <c r="C11" s="25">
        <v>980</v>
      </c>
      <c r="D11" s="32">
        <v>300</v>
      </c>
      <c r="E11" s="27">
        <v>16.5</v>
      </c>
      <c r="F11" s="27">
        <v>26</v>
      </c>
      <c r="G11" s="28">
        <v>30</v>
      </c>
      <c r="H11">
        <v>31680</v>
      </c>
      <c r="I11" s="27">
        <v>928</v>
      </c>
      <c r="J11" s="27">
        <v>868</v>
      </c>
      <c r="K11" s="72">
        <v>4811000000</v>
      </c>
      <c r="L11" s="72">
        <v>9818000</v>
      </c>
      <c r="M11" s="72">
        <v>11350000</v>
      </c>
      <c r="N11">
        <v>389.7</v>
      </c>
      <c r="O11">
        <v>18070</v>
      </c>
      <c r="P11" s="72">
        <v>117500000</v>
      </c>
      <c r="Q11" s="72">
        <v>784000</v>
      </c>
      <c r="R11" s="72">
        <v>1245000</v>
      </c>
      <c r="S11">
        <v>60.9</v>
      </c>
      <c r="T11" s="34">
        <v>103.6</v>
      </c>
      <c r="U11" s="72">
        <v>5844000</v>
      </c>
      <c r="V11" s="72">
        <v>26620000000000</v>
      </c>
      <c r="W11" t="s">
        <v>369</v>
      </c>
      <c r="Y11" s="72"/>
      <c r="Z11" s="7" t="s">
        <v>390</v>
      </c>
      <c r="AA11" s="80">
        <v>16</v>
      </c>
      <c r="AB11" s="80">
        <v>20</v>
      </c>
      <c r="AC11" s="80">
        <v>24</v>
      </c>
      <c r="AD11" s="80">
        <v>1.9</v>
      </c>
      <c r="AE11" s="80">
        <v>1.3</v>
      </c>
      <c r="AF11" s="80">
        <v>2.5</v>
      </c>
      <c r="AG11">
        <v>29000</v>
      </c>
      <c r="AH11">
        <v>1.9E-3</v>
      </c>
      <c r="AI11">
        <v>3.5000000000000005E-3</v>
      </c>
      <c r="AJ11">
        <v>2E-3</v>
      </c>
      <c r="AK11">
        <v>3.5000000000000005E-3</v>
      </c>
      <c r="AL11">
        <v>2E-3</v>
      </c>
      <c r="AM11">
        <v>1.7500000000000003E-3</v>
      </c>
      <c r="AN11">
        <v>3.5000000000000005E-3</v>
      </c>
      <c r="AO11" t="str">
        <f t="shared" ref="AO11:AO23" si="0">W11</f>
        <v>prameter err</v>
      </c>
    </row>
    <row r="12" spans="1:41" x14ac:dyDescent="0.25">
      <c r="A12" s="23" t="s">
        <v>171</v>
      </c>
      <c r="B12" s="36">
        <v>393</v>
      </c>
      <c r="C12" s="32">
        <v>1016</v>
      </c>
      <c r="D12" s="32">
        <v>303</v>
      </c>
      <c r="E12" s="27">
        <v>24.4</v>
      </c>
      <c r="F12" s="27">
        <v>43.9</v>
      </c>
      <c r="G12" s="28">
        <v>30</v>
      </c>
      <c r="H12">
        <v>50020</v>
      </c>
      <c r="I12" s="27">
        <v>928</v>
      </c>
      <c r="J12" s="27">
        <v>868</v>
      </c>
      <c r="K12" s="72">
        <v>8077000000</v>
      </c>
      <c r="L12" s="72">
        <v>15900000</v>
      </c>
      <c r="M12" s="72">
        <v>18540000</v>
      </c>
      <c r="N12">
        <v>401.8</v>
      </c>
      <c r="O12">
        <v>27130</v>
      </c>
      <c r="P12" s="72">
        <v>205000000</v>
      </c>
      <c r="Q12" s="72">
        <v>1353000</v>
      </c>
      <c r="R12" s="72">
        <v>2168000</v>
      </c>
      <c r="S12">
        <v>64</v>
      </c>
      <c r="T12" s="34">
        <v>147.30000000000001</v>
      </c>
      <c r="U12" s="72">
        <v>23320000</v>
      </c>
      <c r="V12" s="72">
        <v>48080000000000</v>
      </c>
      <c r="W12" t="s">
        <v>369</v>
      </c>
      <c r="Y12" s="72"/>
      <c r="Z12" s="7" t="s">
        <v>53</v>
      </c>
      <c r="AA12" s="80">
        <v>20</v>
      </c>
      <c r="AB12" s="80">
        <v>25</v>
      </c>
      <c r="AC12" s="80">
        <v>28</v>
      </c>
      <c r="AD12" s="80">
        <v>2.2000000000000002</v>
      </c>
      <c r="AE12" s="80">
        <v>1.5</v>
      </c>
      <c r="AF12" s="80">
        <v>2.9</v>
      </c>
      <c r="AG12">
        <v>30000</v>
      </c>
      <c r="AH12">
        <v>2E-3</v>
      </c>
      <c r="AI12">
        <v>3.5000000000000005E-3</v>
      </c>
      <c r="AJ12">
        <v>2E-3</v>
      </c>
      <c r="AK12">
        <v>3.5000000000000005E-3</v>
      </c>
      <c r="AL12">
        <v>2E-3</v>
      </c>
      <c r="AM12">
        <v>1.7500000000000003E-3</v>
      </c>
      <c r="AN12">
        <v>3.5000000000000005E-3</v>
      </c>
      <c r="AO12" t="str">
        <f t="shared" si="0"/>
        <v>prameter err</v>
      </c>
    </row>
    <row r="13" spans="1:41" x14ac:dyDescent="0.25">
      <c r="A13" s="23" t="s">
        <v>174</v>
      </c>
      <c r="B13" s="36">
        <v>415</v>
      </c>
      <c r="C13" s="32">
        <v>1020</v>
      </c>
      <c r="D13" s="32">
        <v>304</v>
      </c>
      <c r="E13" s="27">
        <v>26</v>
      </c>
      <c r="F13" s="27">
        <v>46</v>
      </c>
      <c r="G13" s="28">
        <v>30</v>
      </c>
      <c r="H13">
        <v>52870.000000000007</v>
      </c>
      <c r="I13" s="27">
        <v>928</v>
      </c>
      <c r="J13" s="27">
        <v>868</v>
      </c>
      <c r="K13" s="72">
        <v>8531000000</v>
      </c>
      <c r="L13" s="72">
        <v>16728000</v>
      </c>
      <c r="M13" s="72">
        <v>19571000</v>
      </c>
      <c r="N13">
        <v>401.70000000000005</v>
      </c>
      <c r="O13">
        <v>28860.000000000004</v>
      </c>
      <c r="P13" s="72">
        <v>217100000</v>
      </c>
      <c r="Q13" s="72">
        <v>1428000</v>
      </c>
      <c r="R13" s="72">
        <v>2298000</v>
      </c>
      <c r="S13">
        <v>64.099999999999994</v>
      </c>
      <c r="T13" s="34">
        <v>153.1</v>
      </c>
      <c r="U13" s="72">
        <v>27130000</v>
      </c>
      <c r="V13" s="72">
        <v>51080000000000</v>
      </c>
      <c r="W13" t="s">
        <v>369</v>
      </c>
      <c r="Y13" s="72"/>
      <c r="Z13" s="7" t="s">
        <v>54</v>
      </c>
      <c r="AA13" s="80">
        <v>25</v>
      </c>
      <c r="AB13" s="80">
        <v>30</v>
      </c>
      <c r="AC13" s="80">
        <v>33</v>
      </c>
      <c r="AD13" s="80">
        <v>2.6</v>
      </c>
      <c r="AE13" s="80">
        <v>1.8</v>
      </c>
      <c r="AF13" s="80">
        <v>3.3</v>
      </c>
      <c r="AG13">
        <v>31000</v>
      </c>
      <c r="AH13">
        <v>2.1000000000000003E-3</v>
      </c>
      <c r="AI13">
        <v>3.5000000000000005E-3</v>
      </c>
      <c r="AJ13">
        <v>2E-3</v>
      </c>
      <c r="AK13">
        <v>3.5000000000000005E-3</v>
      </c>
      <c r="AL13">
        <v>2E-3</v>
      </c>
      <c r="AM13">
        <v>1.7500000000000003E-3</v>
      </c>
      <c r="AN13">
        <v>3.5000000000000005E-3</v>
      </c>
      <c r="AO13" t="str">
        <f t="shared" si="0"/>
        <v>prameter err</v>
      </c>
    </row>
    <row r="14" spans="1:41" x14ac:dyDescent="0.25">
      <c r="A14" s="35" t="s">
        <v>176</v>
      </c>
      <c r="B14" s="24">
        <v>438</v>
      </c>
      <c r="C14" s="62">
        <v>1026</v>
      </c>
      <c r="D14" s="61">
        <v>305</v>
      </c>
      <c r="E14" s="38">
        <v>26.9</v>
      </c>
      <c r="F14" s="38">
        <v>49</v>
      </c>
      <c r="G14" s="39">
        <v>30</v>
      </c>
      <c r="H14">
        <v>55600</v>
      </c>
      <c r="I14" s="27">
        <v>928</v>
      </c>
      <c r="J14" s="27">
        <v>868</v>
      </c>
      <c r="K14" s="72">
        <v>9092000000</v>
      </c>
      <c r="L14" s="72">
        <v>17720000</v>
      </c>
      <c r="M14" s="72">
        <v>20750000</v>
      </c>
      <c r="N14">
        <v>404.3</v>
      </c>
      <c r="O14">
        <v>29989.999999999996</v>
      </c>
      <c r="P14" s="72">
        <v>233600000</v>
      </c>
      <c r="Q14" s="72">
        <v>1531000</v>
      </c>
      <c r="R14" s="72">
        <v>2463000</v>
      </c>
      <c r="S14">
        <v>64.800000000000011</v>
      </c>
      <c r="T14" s="27">
        <v>160</v>
      </c>
      <c r="U14" s="72">
        <v>31900000</v>
      </c>
      <c r="V14" s="72">
        <v>55290000000000</v>
      </c>
      <c r="W14" t="s">
        <v>369</v>
      </c>
      <c r="Y14" s="72"/>
      <c r="Z14" s="7" t="s">
        <v>55</v>
      </c>
      <c r="AA14" s="80">
        <v>30</v>
      </c>
      <c r="AB14" s="80">
        <v>37</v>
      </c>
      <c r="AC14" s="80">
        <v>38</v>
      </c>
      <c r="AD14" s="80">
        <v>2.9</v>
      </c>
      <c r="AE14" s="80">
        <v>2</v>
      </c>
      <c r="AF14" s="80">
        <v>3.8</v>
      </c>
      <c r="AG14">
        <v>32000</v>
      </c>
      <c r="AH14">
        <v>2.2000000000000001E-3</v>
      </c>
      <c r="AI14">
        <v>3.5000000000000005E-3</v>
      </c>
      <c r="AJ14">
        <v>2E-3</v>
      </c>
      <c r="AK14">
        <v>3.5000000000000005E-3</v>
      </c>
      <c r="AL14">
        <v>2E-3</v>
      </c>
      <c r="AM14">
        <v>1.7500000000000003E-3</v>
      </c>
      <c r="AN14">
        <v>3.5000000000000005E-3</v>
      </c>
      <c r="AO14" t="str">
        <f t="shared" si="0"/>
        <v>prameter err</v>
      </c>
    </row>
    <row r="15" spans="1:41" x14ac:dyDescent="0.25">
      <c r="A15" s="35" t="s">
        <v>179</v>
      </c>
      <c r="B15" s="36">
        <v>494</v>
      </c>
      <c r="C15" s="40">
        <v>1036</v>
      </c>
      <c r="D15" s="37">
        <v>309</v>
      </c>
      <c r="E15" s="38">
        <v>31</v>
      </c>
      <c r="F15" s="38">
        <v>54</v>
      </c>
      <c r="G15" s="39">
        <v>30</v>
      </c>
      <c r="H15">
        <v>62910</v>
      </c>
      <c r="I15" s="27">
        <v>928</v>
      </c>
      <c r="J15" s="27">
        <v>868</v>
      </c>
      <c r="K15" s="72">
        <v>10280000000</v>
      </c>
      <c r="L15" s="72">
        <v>19845000</v>
      </c>
      <c r="M15" s="72">
        <v>23413000</v>
      </c>
      <c r="N15">
        <v>404.20000000000005</v>
      </c>
      <c r="O15">
        <v>34450</v>
      </c>
      <c r="P15" s="72">
        <v>268200000</v>
      </c>
      <c r="Q15" s="72">
        <v>1736000</v>
      </c>
      <c r="R15" s="72">
        <v>2818000</v>
      </c>
      <c r="S15">
        <v>65.3</v>
      </c>
      <c r="T15" s="34">
        <v>174.1</v>
      </c>
      <c r="U15" s="72">
        <v>44330000</v>
      </c>
      <c r="V15" s="72">
        <v>64010000000000</v>
      </c>
      <c r="W15" t="s">
        <v>369</v>
      </c>
      <c r="Y15" s="72"/>
      <c r="Z15" s="7" t="s">
        <v>56</v>
      </c>
      <c r="AA15" s="80">
        <v>35</v>
      </c>
      <c r="AB15" s="80">
        <v>45</v>
      </c>
      <c r="AC15" s="80">
        <v>43</v>
      </c>
      <c r="AD15" s="80">
        <v>3.2</v>
      </c>
      <c r="AE15" s="80">
        <v>2.2000000000000002</v>
      </c>
      <c r="AF15" s="80">
        <v>4.2</v>
      </c>
      <c r="AG15">
        <v>34000</v>
      </c>
      <c r="AH15">
        <v>2.2499999999999998E-3</v>
      </c>
      <c r="AI15">
        <v>3.5000000000000005E-3</v>
      </c>
      <c r="AJ15">
        <v>2E-3</v>
      </c>
      <c r="AK15">
        <v>3.5000000000000005E-3</v>
      </c>
      <c r="AL15">
        <v>2E-3</v>
      </c>
      <c r="AM15">
        <v>1.7500000000000003E-3</v>
      </c>
      <c r="AN15">
        <v>3.5000000000000005E-3</v>
      </c>
      <c r="AO15" t="str">
        <f t="shared" si="0"/>
        <v>prameter err</v>
      </c>
    </row>
    <row r="16" spans="1:41" x14ac:dyDescent="0.25">
      <c r="A16" s="23" t="s">
        <v>180</v>
      </c>
      <c r="B16" s="24">
        <v>584</v>
      </c>
      <c r="C16" s="26">
        <v>1056</v>
      </c>
      <c r="D16" s="26">
        <v>314</v>
      </c>
      <c r="E16" s="27">
        <v>36</v>
      </c>
      <c r="F16" s="27">
        <v>64</v>
      </c>
      <c r="G16" s="28">
        <v>30</v>
      </c>
      <c r="H16">
        <v>74370</v>
      </c>
      <c r="I16" s="27">
        <v>928</v>
      </c>
      <c r="J16" s="27">
        <v>868</v>
      </c>
      <c r="K16" s="72">
        <v>12461000000</v>
      </c>
      <c r="L16" s="72">
        <v>23600000</v>
      </c>
      <c r="M16" s="72">
        <v>28039000</v>
      </c>
      <c r="N16">
        <v>409.3</v>
      </c>
      <c r="O16">
        <v>40320</v>
      </c>
      <c r="P16" s="72">
        <v>334300000</v>
      </c>
      <c r="Q16" s="72">
        <v>2130000</v>
      </c>
      <c r="R16" s="72">
        <v>3475000</v>
      </c>
      <c r="S16">
        <v>67</v>
      </c>
      <c r="T16" s="27">
        <v>199.1</v>
      </c>
      <c r="U16" s="72">
        <v>72300000</v>
      </c>
      <c r="V16" s="72">
        <v>81240000000000</v>
      </c>
      <c r="W16" t="s">
        <v>369</v>
      </c>
      <c r="Y16" s="72"/>
      <c r="Z16" s="7" t="s">
        <v>57</v>
      </c>
      <c r="AA16" s="80">
        <v>40</v>
      </c>
      <c r="AB16" s="80">
        <v>50</v>
      </c>
      <c r="AC16" s="80">
        <v>48</v>
      </c>
      <c r="AD16" s="80">
        <v>3.5</v>
      </c>
      <c r="AE16" s="80">
        <v>2.5</v>
      </c>
      <c r="AF16" s="80">
        <v>4.5999999999999996</v>
      </c>
      <c r="AG16">
        <v>35000</v>
      </c>
      <c r="AH16">
        <v>2.3E-3</v>
      </c>
      <c r="AI16">
        <v>3.5000000000000005E-3</v>
      </c>
      <c r="AJ16">
        <v>2E-3</v>
      </c>
      <c r="AK16">
        <v>3.5000000000000005E-3</v>
      </c>
      <c r="AL16">
        <v>2E-3</v>
      </c>
      <c r="AM16">
        <v>1.7500000000000003E-3</v>
      </c>
      <c r="AN16">
        <v>3.5000000000000005E-3</v>
      </c>
      <c r="AO16" t="str">
        <f t="shared" si="0"/>
        <v>prameter err</v>
      </c>
    </row>
    <row r="17" spans="1:41" x14ac:dyDescent="0.25">
      <c r="A17" s="35" t="s">
        <v>166</v>
      </c>
      <c r="B17" s="36">
        <v>337</v>
      </c>
      <c r="C17" s="40">
        <v>632</v>
      </c>
      <c r="D17" s="37">
        <v>310</v>
      </c>
      <c r="E17" s="38">
        <v>25.5</v>
      </c>
      <c r="F17" s="38">
        <v>46</v>
      </c>
      <c r="G17" s="39">
        <v>27</v>
      </c>
      <c r="H17">
        <v>42920</v>
      </c>
      <c r="I17" s="27">
        <v>540</v>
      </c>
      <c r="J17" s="27">
        <v>486</v>
      </c>
      <c r="K17" s="72">
        <v>2832000000</v>
      </c>
      <c r="L17" s="72">
        <v>8961000</v>
      </c>
      <c r="M17" s="72">
        <v>10380000</v>
      </c>
      <c r="N17">
        <v>256.90000000000003</v>
      </c>
      <c r="O17">
        <v>18050</v>
      </c>
      <c r="P17" s="72">
        <v>229400000</v>
      </c>
      <c r="Q17" s="72">
        <v>1480000</v>
      </c>
      <c r="R17" s="72">
        <v>2310000</v>
      </c>
      <c r="S17">
        <v>73.099999999999994</v>
      </c>
      <c r="T17" s="34">
        <v>149.1</v>
      </c>
      <c r="U17" s="72">
        <v>24510000</v>
      </c>
      <c r="V17" s="72">
        <v>19610000000000</v>
      </c>
      <c r="W17" t="s">
        <v>369</v>
      </c>
      <c r="Y17" s="72"/>
      <c r="Z17" s="7" t="s">
        <v>58</v>
      </c>
      <c r="AA17" s="80">
        <v>45</v>
      </c>
      <c r="AB17" s="80">
        <v>55</v>
      </c>
      <c r="AC17" s="80">
        <v>53</v>
      </c>
      <c r="AD17" s="80">
        <v>3.8</v>
      </c>
      <c r="AE17" s="80">
        <v>2.7</v>
      </c>
      <c r="AF17" s="80">
        <v>4.9000000000000004</v>
      </c>
      <c r="AG17">
        <v>36000</v>
      </c>
      <c r="AH17">
        <v>2.4000000000000002E-3</v>
      </c>
      <c r="AI17">
        <v>3.5000000000000005E-3</v>
      </c>
      <c r="AJ17">
        <v>2E-3</v>
      </c>
      <c r="AK17">
        <v>3.5000000000000005E-3</v>
      </c>
      <c r="AL17">
        <v>2E-3</v>
      </c>
      <c r="AM17">
        <v>1.7500000000000003E-3</v>
      </c>
      <c r="AN17">
        <v>3.5000000000000005E-3</v>
      </c>
      <c r="AO17" t="str">
        <f t="shared" si="0"/>
        <v>prameter err</v>
      </c>
    </row>
    <row r="18" spans="1:41" x14ac:dyDescent="0.25">
      <c r="A18" s="35" t="s">
        <v>172</v>
      </c>
      <c r="B18" s="36">
        <v>399</v>
      </c>
      <c r="C18" s="40">
        <v>648</v>
      </c>
      <c r="D18" s="37">
        <v>315</v>
      </c>
      <c r="E18" s="38">
        <v>30</v>
      </c>
      <c r="F18" s="38">
        <v>54</v>
      </c>
      <c r="G18" s="39">
        <v>27</v>
      </c>
      <c r="H18">
        <v>50850</v>
      </c>
      <c r="I18" s="27">
        <v>540</v>
      </c>
      <c r="J18" s="27">
        <v>486</v>
      </c>
      <c r="K18" s="72">
        <v>3446000000</v>
      </c>
      <c r="L18" s="72">
        <v>10640000</v>
      </c>
      <c r="M18" s="72">
        <v>12460000</v>
      </c>
      <c r="N18">
        <v>260.3</v>
      </c>
      <c r="O18">
        <v>21360</v>
      </c>
      <c r="P18" s="72">
        <v>282800000</v>
      </c>
      <c r="Q18" s="72">
        <v>1796000</v>
      </c>
      <c r="R18" s="72">
        <v>2814000</v>
      </c>
      <c r="S18">
        <v>74.599999999999994</v>
      </c>
      <c r="T18" s="34">
        <v>169.6</v>
      </c>
      <c r="U18" s="72">
        <v>39660000</v>
      </c>
      <c r="V18" s="72">
        <v>24810000000000</v>
      </c>
      <c r="W18" t="s">
        <v>369</v>
      </c>
      <c r="Y18" s="72"/>
      <c r="Z18" s="7" t="s">
        <v>59</v>
      </c>
      <c r="AA18" s="80">
        <v>50</v>
      </c>
      <c r="AB18" s="80">
        <v>60</v>
      </c>
      <c r="AC18" s="80">
        <v>58</v>
      </c>
      <c r="AD18" s="80">
        <v>4.0999999999999996</v>
      </c>
      <c r="AE18" s="80">
        <v>2.9</v>
      </c>
      <c r="AF18" s="80">
        <v>5.3</v>
      </c>
      <c r="AG18">
        <v>37000</v>
      </c>
      <c r="AH18">
        <v>2.4500000000000004E-3</v>
      </c>
      <c r="AI18">
        <v>3.5000000000000005E-3</v>
      </c>
      <c r="AJ18">
        <v>2E-3</v>
      </c>
      <c r="AK18">
        <v>3.5000000000000005E-3</v>
      </c>
      <c r="AL18">
        <v>2E-3</v>
      </c>
      <c r="AM18">
        <v>1.7500000000000003E-3</v>
      </c>
      <c r="AN18">
        <v>3.5000000000000005E-3</v>
      </c>
      <c r="AO18" t="str">
        <f t="shared" si="0"/>
        <v>prameter err</v>
      </c>
    </row>
    <row r="19" spans="1:41" x14ac:dyDescent="0.25">
      <c r="A19" s="23" t="s">
        <v>167</v>
      </c>
      <c r="B19" s="24">
        <v>343</v>
      </c>
      <c r="C19" s="26">
        <v>680</v>
      </c>
      <c r="D19" s="26">
        <v>309</v>
      </c>
      <c r="E19" s="27">
        <v>25</v>
      </c>
      <c r="F19" s="27">
        <v>46</v>
      </c>
      <c r="G19" s="28">
        <v>27</v>
      </c>
      <c r="H19">
        <v>43750</v>
      </c>
      <c r="I19" s="27">
        <v>588</v>
      </c>
      <c r="J19" s="27">
        <v>534</v>
      </c>
      <c r="K19" s="72">
        <v>3337000000</v>
      </c>
      <c r="L19" s="72">
        <v>9815000</v>
      </c>
      <c r="M19" s="72">
        <v>11350000</v>
      </c>
      <c r="N19">
        <v>276.2</v>
      </c>
      <c r="O19">
        <v>18960</v>
      </c>
      <c r="P19" s="72">
        <v>227200000</v>
      </c>
      <c r="Q19" s="72">
        <v>1470000</v>
      </c>
      <c r="R19" s="72">
        <v>2300000</v>
      </c>
      <c r="S19">
        <v>72.099999999999994</v>
      </c>
      <c r="T19" s="27">
        <v>148.6</v>
      </c>
      <c r="U19" s="72">
        <v>24420000</v>
      </c>
      <c r="V19" s="72">
        <v>22730000000000</v>
      </c>
      <c r="W19" t="s">
        <v>369</v>
      </c>
      <c r="Y19" s="72"/>
      <c r="Z19" s="7" t="s">
        <v>391</v>
      </c>
      <c r="AA19" s="80">
        <v>55</v>
      </c>
      <c r="AB19" s="80">
        <v>67</v>
      </c>
      <c r="AC19" s="80">
        <v>63</v>
      </c>
      <c r="AD19" s="80">
        <v>4.2</v>
      </c>
      <c r="AE19" s="80">
        <v>3</v>
      </c>
      <c r="AF19" s="80">
        <v>5.5</v>
      </c>
      <c r="AG19">
        <v>38000</v>
      </c>
      <c r="AH19">
        <v>2.5000000000000005E-3</v>
      </c>
      <c r="AI19">
        <v>3.2000000000000002E-3</v>
      </c>
      <c r="AJ19">
        <v>2.2000000000000001E-3</v>
      </c>
      <c r="AK19">
        <v>3.1000000000000003E-3</v>
      </c>
      <c r="AL19">
        <v>1.7500000000000003E-3</v>
      </c>
      <c r="AM19">
        <v>1.8000000000000004E-3</v>
      </c>
      <c r="AN19">
        <v>3.1000000000000003E-3</v>
      </c>
      <c r="AO19" t="str">
        <f t="shared" si="0"/>
        <v>prameter err</v>
      </c>
    </row>
    <row r="20" spans="1:41" x14ac:dyDescent="0.25">
      <c r="A20" s="35" t="s">
        <v>173</v>
      </c>
      <c r="B20" s="24">
        <v>407</v>
      </c>
      <c r="C20" s="62">
        <v>696</v>
      </c>
      <c r="D20" s="61">
        <v>314</v>
      </c>
      <c r="E20" s="38">
        <v>29.5</v>
      </c>
      <c r="F20" s="38">
        <v>54</v>
      </c>
      <c r="G20" s="39">
        <v>27</v>
      </c>
      <c r="H20">
        <v>51879.999999999993</v>
      </c>
      <c r="I20" s="27">
        <v>588</v>
      </c>
      <c r="J20" s="27">
        <v>534</v>
      </c>
      <c r="K20" s="72">
        <v>4054000000</v>
      </c>
      <c r="L20" s="72">
        <v>11650000</v>
      </c>
      <c r="M20" s="72">
        <v>13620000</v>
      </c>
      <c r="N20">
        <v>279.5</v>
      </c>
      <c r="O20">
        <v>22480</v>
      </c>
      <c r="P20" s="72">
        <v>280200000</v>
      </c>
      <c r="Q20" s="72">
        <v>1785000</v>
      </c>
      <c r="R20" s="72">
        <v>2803000</v>
      </c>
      <c r="S20">
        <v>73.5</v>
      </c>
      <c r="T20" s="27">
        <v>169.1</v>
      </c>
      <c r="U20" s="72">
        <v>39580000</v>
      </c>
      <c r="V20" s="72">
        <v>28710000000000</v>
      </c>
      <c r="W20" t="s">
        <v>369</v>
      </c>
      <c r="Y20" s="72"/>
      <c r="Z20" s="7" t="s">
        <v>392</v>
      </c>
      <c r="AA20" s="80">
        <v>60</v>
      </c>
      <c r="AB20" s="80">
        <v>75</v>
      </c>
      <c r="AC20" s="80">
        <v>68</v>
      </c>
      <c r="AD20" s="80">
        <v>4.4000000000000004</v>
      </c>
      <c r="AE20" s="80">
        <v>3.1</v>
      </c>
      <c r="AF20" s="80">
        <v>5.7</v>
      </c>
      <c r="AG20">
        <v>39000</v>
      </c>
      <c r="AH20">
        <v>2.6000000000000003E-3</v>
      </c>
      <c r="AI20">
        <v>3.0000000000000001E-3</v>
      </c>
      <c r="AJ20">
        <v>2.3E-3</v>
      </c>
      <c r="AK20">
        <v>2.8999999999999998E-3</v>
      </c>
      <c r="AL20">
        <v>1.6000000000000001E-3</v>
      </c>
      <c r="AM20">
        <v>1.9E-3</v>
      </c>
      <c r="AN20">
        <v>2.8999999999999998E-3</v>
      </c>
      <c r="AO20" t="str">
        <f t="shared" si="0"/>
        <v>prameter err</v>
      </c>
    </row>
    <row r="21" spans="1:41" x14ac:dyDescent="0.25">
      <c r="A21" s="35" t="s">
        <v>168</v>
      </c>
      <c r="B21" s="24">
        <v>352</v>
      </c>
      <c r="C21" s="40">
        <v>728</v>
      </c>
      <c r="D21" s="37">
        <v>308</v>
      </c>
      <c r="E21" s="38">
        <v>25</v>
      </c>
      <c r="F21" s="38">
        <v>46</v>
      </c>
      <c r="G21" s="39">
        <v>27</v>
      </c>
      <c r="H21">
        <v>44860</v>
      </c>
      <c r="I21" s="27">
        <v>636</v>
      </c>
      <c r="J21" s="27">
        <v>582</v>
      </c>
      <c r="K21" s="72">
        <v>3897000000</v>
      </c>
      <c r="L21" s="72">
        <v>10710000</v>
      </c>
      <c r="M21" s="72">
        <v>12390000</v>
      </c>
      <c r="N21">
        <v>294.7</v>
      </c>
      <c r="O21">
        <v>20160</v>
      </c>
      <c r="P21" s="72">
        <v>225100000</v>
      </c>
      <c r="Q21" s="72">
        <v>1461000</v>
      </c>
      <c r="R21" s="72">
        <v>2293000</v>
      </c>
      <c r="S21">
        <v>70.8</v>
      </c>
      <c r="T21" s="34">
        <v>148.6</v>
      </c>
      <c r="U21" s="72">
        <v>24610000</v>
      </c>
      <c r="V21" s="72">
        <v>26050000000000</v>
      </c>
      <c r="W21" t="s">
        <v>369</v>
      </c>
      <c r="Y21" s="72"/>
      <c r="Z21" s="7" t="s">
        <v>393</v>
      </c>
      <c r="AA21" s="80">
        <v>70</v>
      </c>
      <c r="AB21" s="80">
        <v>85</v>
      </c>
      <c r="AC21" s="80">
        <v>78</v>
      </c>
      <c r="AD21" s="80">
        <v>4.5999999999999996</v>
      </c>
      <c r="AE21" s="80">
        <v>3.2</v>
      </c>
      <c r="AF21" s="80">
        <v>6</v>
      </c>
      <c r="AG21">
        <v>41000</v>
      </c>
      <c r="AH21">
        <v>2.7000000000000006E-3</v>
      </c>
      <c r="AI21">
        <v>2.8E-3</v>
      </c>
      <c r="AJ21">
        <v>2.4000000000000002E-3</v>
      </c>
      <c r="AK21">
        <v>2.7000000000000006E-3</v>
      </c>
      <c r="AL21">
        <v>1.4499999999999999E-3</v>
      </c>
      <c r="AM21">
        <v>2E-3</v>
      </c>
      <c r="AN21">
        <v>2.7000000000000006E-3</v>
      </c>
      <c r="AO21" t="str">
        <f t="shared" si="0"/>
        <v>prameter err</v>
      </c>
    </row>
    <row r="22" spans="1:41" x14ac:dyDescent="0.25">
      <c r="A22" s="23" t="s">
        <v>175</v>
      </c>
      <c r="B22" s="36">
        <v>418</v>
      </c>
      <c r="C22" s="32">
        <v>744</v>
      </c>
      <c r="D22" s="32">
        <v>313</v>
      </c>
      <c r="E22" s="27">
        <v>29.5</v>
      </c>
      <c r="F22" s="27">
        <v>54</v>
      </c>
      <c r="G22" s="28">
        <v>27</v>
      </c>
      <c r="H22">
        <v>53190</v>
      </c>
      <c r="I22" s="27">
        <v>636</v>
      </c>
      <c r="J22" s="27">
        <v>582</v>
      </c>
      <c r="K22" s="72">
        <v>4725000000</v>
      </c>
      <c r="L22" s="72">
        <v>12700000</v>
      </c>
      <c r="M22" s="72">
        <v>14840000</v>
      </c>
      <c r="N22">
        <v>298</v>
      </c>
      <c r="O22">
        <v>23900</v>
      </c>
      <c r="P22" s="72">
        <v>277600000</v>
      </c>
      <c r="Q22" s="72">
        <v>1774000</v>
      </c>
      <c r="R22" s="72">
        <v>2797000</v>
      </c>
      <c r="S22">
        <v>72.2</v>
      </c>
      <c r="T22" s="34">
        <v>169.1</v>
      </c>
      <c r="U22" s="72">
        <v>39890000</v>
      </c>
      <c r="V22" s="72">
        <v>32850000000000</v>
      </c>
      <c r="W22" t="s">
        <v>369</v>
      </c>
      <c r="Y22" s="72"/>
      <c r="Z22" s="7" t="s">
        <v>394</v>
      </c>
      <c r="AA22" s="80">
        <v>80</v>
      </c>
      <c r="AB22" s="80">
        <v>95</v>
      </c>
      <c r="AC22" s="80">
        <v>88</v>
      </c>
      <c r="AD22" s="80">
        <v>4.8</v>
      </c>
      <c r="AE22" s="80">
        <v>3.4</v>
      </c>
      <c r="AF22" s="80">
        <v>6.3</v>
      </c>
      <c r="AG22">
        <v>42000</v>
      </c>
      <c r="AH22">
        <v>2.8E-3</v>
      </c>
      <c r="AI22">
        <v>2.8E-3</v>
      </c>
      <c r="AJ22">
        <v>2.5000000000000005E-3</v>
      </c>
      <c r="AK22">
        <v>2.6000000000000003E-3</v>
      </c>
      <c r="AL22">
        <v>1.4E-3</v>
      </c>
      <c r="AM22">
        <v>2.2000000000000001E-3</v>
      </c>
      <c r="AN22">
        <v>2.6000000000000003E-3</v>
      </c>
      <c r="AO22" t="str">
        <f t="shared" si="0"/>
        <v>prameter err</v>
      </c>
    </row>
    <row r="23" spans="1:41" x14ac:dyDescent="0.25">
      <c r="A23" s="35" t="s">
        <v>169</v>
      </c>
      <c r="B23" s="36">
        <v>373</v>
      </c>
      <c r="C23" s="40">
        <v>826</v>
      </c>
      <c r="D23" s="37">
        <v>308</v>
      </c>
      <c r="E23" s="38">
        <v>25</v>
      </c>
      <c r="F23" s="38">
        <v>46</v>
      </c>
      <c r="G23" s="39">
        <v>30</v>
      </c>
      <c r="H23">
        <v>47460</v>
      </c>
      <c r="I23" s="27">
        <v>734</v>
      </c>
      <c r="J23" s="27">
        <v>674</v>
      </c>
      <c r="K23" s="72">
        <v>5239000000</v>
      </c>
      <c r="L23" s="72">
        <v>12690000</v>
      </c>
      <c r="M23" s="72">
        <v>14700000</v>
      </c>
      <c r="N23">
        <v>332.29999999999995</v>
      </c>
      <c r="O23">
        <v>23030</v>
      </c>
      <c r="P23" s="72">
        <v>225300000</v>
      </c>
      <c r="Q23" s="72">
        <v>1463000</v>
      </c>
      <c r="R23" s="72">
        <v>2311000</v>
      </c>
      <c r="S23">
        <v>68.899999999999991</v>
      </c>
      <c r="T23" s="34">
        <v>152.1</v>
      </c>
      <c r="U23" s="72">
        <v>25540000</v>
      </c>
      <c r="V23" s="72">
        <v>34070000000000</v>
      </c>
      <c r="W23" t="s">
        <v>369</v>
      </c>
      <c r="Y23" s="72"/>
      <c r="Z23" s="7" t="s">
        <v>395</v>
      </c>
      <c r="AA23" s="80">
        <v>90</v>
      </c>
      <c r="AB23" s="80">
        <v>105</v>
      </c>
      <c r="AC23" s="80">
        <v>98</v>
      </c>
      <c r="AD23" s="80">
        <v>5</v>
      </c>
      <c r="AE23" s="80">
        <v>3.5</v>
      </c>
      <c r="AF23" s="80">
        <v>6.6</v>
      </c>
      <c r="AG23">
        <v>44000</v>
      </c>
      <c r="AH23">
        <v>2.8E-3</v>
      </c>
      <c r="AI23">
        <v>2.8E-3</v>
      </c>
      <c r="AJ23">
        <v>2.6000000000000003E-3</v>
      </c>
      <c r="AK23">
        <v>2.6000000000000003E-3</v>
      </c>
      <c r="AL23">
        <v>1.4E-3</v>
      </c>
      <c r="AM23">
        <v>2.3E-3</v>
      </c>
      <c r="AN23">
        <v>2.6000000000000003E-3</v>
      </c>
      <c r="AO23" t="str">
        <f t="shared" si="0"/>
        <v>prameter err</v>
      </c>
    </row>
    <row r="24" spans="1:41" x14ac:dyDescent="0.25">
      <c r="A24" s="35" t="s">
        <v>177</v>
      </c>
      <c r="B24" s="36">
        <v>444</v>
      </c>
      <c r="C24" s="40">
        <v>842</v>
      </c>
      <c r="D24" s="37">
        <v>313</v>
      </c>
      <c r="E24" s="38">
        <v>30</v>
      </c>
      <c r="F24" s="38">
        <v>54</v>
      </c>
      <c r="G24" s="39">
        <v>30</v>
      </c>
      <c r="H24">
        <v>56600</v>
      </c>
      <c r="I24" s="27">
        <v>734</v>
      </c>
      <c r="J24" s="27">
        <v>674</v>
      </c>
      <c r="K24" s="72">
        <v>6345000000</v>
      </c>
      <c r="L24" s="72">
        <v>15070000</v>
      </c>
      <c r="M24" s="72">
        <v>17640000</v>
      </c>
      <c r="N24">
        <v>334.79999999999995</v>
      </c>
      <c r="O24">
        <v>27650</v>
      </c>
      <c r="P24" s="72">
        <v>278000000</v>
      </c>
      <c r="Q24" s="72">
        <v>1776000</v>
      </c>
      <c r="R24" s="72">
        <v>2827000</v>
      </c>
      <c r="S24">
        <v>70.099999999999994</v>
      </c>
      <c r="T24" s="34">
        <v>173.1</v>
      </c>
      <c r="U24" s="72">
        <v>41800000</v>
      </c>
      <c r="V24" s="72">
        <v>42840000000000</v>
      </c>
      <c r="W24" t="s">
        <v>369</v>
      </c>
      <c r="Y24" s="72"/>
    </row>
    <row r="25" spans="1:41" x14ac:dyDescent="0.25">
      <c r="A25" s="23" t="s">
        <v>170</v>
      </c>
      <c r="B25" s="24">
        <v>391</v>
      </c>
      <c r="C25" s="41">
        <v>922</v>
      </c>
      <c r="D25" s="42">
        <v>307</v>
      </c>
      <c r="E25" s="43">
        <v>25</v>
      </c>
      <c r="F25" s="43">
        <v>46</v>
      </c>
      <c r="G25" s="43">
        <v>30</v>
      </c>
      <c r="H25">
        <v>49770</v>
      </c>
      <c r="I25" s="44">
        <v>830</v>
      </c>
      <c r="J25" s="43">
        <v>770</v>
      </c>
      <c r="K25" s="72">
        <v>6743000000</v>
      </c>
      <c r="L25" s="72">
        <v>14630000</v>
      </c>
      <c r="M25" s="72">
        <v>16990000</v>
      </c>
      <c r="N25">
        <v>368.1</v>
      </c>
      <c r="O25">
        <v>25430</v>
      </c>
      <c r="P25" s="72">
        <v>223200000</v>
      </c>
      <c r="Q25" s="72">
        <v>1454000</v>
      </c>
      <c r="R25" s="72">
        <v>2312000</v>
      </c>
      <c r="S25">
        <v>67</v>
      </c>
      <c r="T25" s="44">
        <v>152.1</v>
      </c>
      <c r="U25" s="72">
        <v>25970000</v>
      </c>
      <c r="V25" s="72">
        <v>42560000000000</v>
      </c>
      <c r="W25" t="s">
        <v>369</v>
      </c>
      <c r="Y25" s="72"/>
    </row>
    <row r="26" spans="1:41" x14ac:dyDescent="0.25">
      <c r="A26" s="35" t="s">
        <v>178</v>
      </c>
      <c r="B26" s="36">
        <v>466</v>
      </c>
      <c r="C26" s="40">
        <v>938</v>
      </c>
      <c r="D26" s="37">
        <v>312</v>
      </c>
      <c r="E26" s="38">
        <v>30</v>
      </c>
      <c r="F26" s="38">
        <v>54</v>
      </c>
      <c r="G26" s="39">
        <v>30</v>
      </c>
      <c r="H26">
        <v>59370.000000000007</v>
      </c>
      <c r="I26" s="27">
        <v>830</v>
      </c>
      <c r="J26" s="27">
        <v>770</v>
      </c>
      <c r="K26" s="72">
        <v>8149000000</v>
      </c>
      <c r="L26" s="72">
        <v>17380000</v>
      </c>
      <c r="M26" s="72">
        <v>20380000</v>
      </c>
      <c r="N26">
        <v>370.5</v>
      </c>
      <c r="O26">
        <v>30530</v>
      </c>
      <c r="P26" s="72">
        <v>275600000</v>
      </c>
      <c r="Q26" s="72">
        <v>1767000</v>
      </c>
      <c r="R26" s="72">
        <v>2832000</v>
      </c>
      <c r="S26">
        <v>68.099999999999994</v>
      </c>
      <c r="T26" s="34">
        <v>173.1</v>
      </c>
      <c r="U26" s="72">
        <v>42560000</v>
      </c>
      <c r="V26" s="72">
        <v>53400000000000</v>
      </c>
      <c r="W26" t="s">
        <v>369</v>
      </c>
      <c r="Y26" s="72"/>
      <c r="Z26" s="82" t="s">
        <v>459</v>
      </c>
      <c r="AA26" s="82"/>
    </row>
    <row r="27" spans="1:41" x14ac:dyDescent="0.25">
      <c r="A27" s="35" t="s">
        <v>182</v>
      </c>
      <c r="B27" s="36" t="s">
        <v>118</v>
      </c>
      <c r="C27" s="40">
        <v>96</v>
      </c>
      <c r="D27" s="37">
        <v>100</v>
      </c>
      <c r="E27" s="38">
        <v>5</v>
      </c>
      <c r="F27" s="38">
        <v>8</v>
      </c>
      <c r="G27" s="39">
        <v>12</v>
      </c>
      <c r="H27">
        <v>2120</v>
      </c>
      <c r="I27" s="27">
        <v>80</v>
      </c>
      <c r="J27" s="27">
        <v>56</v>
      </c>
      <c r="K27" s="72">
        <v>3492000</v>
      </c>
      <c r="L27" s="72">
        <v>72760</v>
      </c>
      <c r="M27" s="72">
        <v>83010</v>
      </c>
      <c r="N27">
        <v>40.599999999999994</v>
      </c>
      <c r="O27">
        <v>756</v>
      </c>
      <c r="P27" s="72">
        <v>1338000</v>
      </c>
      <c r="Q27" s="72">
        <v>26760</v>
      </c>
      <c r="R27" s="72">
        <v>41140</v>
      </c>
      <c r="S27">
        <v>25.099999999999998</v>
      </c>
      <c r="T27" s="34">
        <v>35.06</v>
      </c>
      <c r="U27" s="72">
        <v>52400</v>
      </c>
      <c r="V27" s="72">
        <v>2580000000</v>
      </c>
      <c r="W27" t="s">
        <v>369</v>
      </c>
      <c r="Y27" s="72"/>
      <c r="Z27" s="7"/>
      <c r="AA27" s="7"/>
    </row>
    <row r="28" spans="1:41" x14ac:dyDescent="0.25">
      <c r="A28" s="35" t="s">
        <v>286</v>
      </c>
      <c r="B28" s="36">
        <v>272</v>
      </c>
      <c r="C28" s="40">
        <v>990</v>
      </c>
      <c r="D28" s="37">
        <v>300</v>
      </c>
      <c r="E28" s="37">
        <v>16.5</v>
      </c>
      <c r="F28" s="37">
        <v>31</v>
      </c>
      <c r="G28" s="47">
        <v>30</v>
      </c>
      <c r="H28">
        <v>34680</v>
      </c>
      <c r="I28" s="32">
        <v>928</v>
      </c>
      <c r="J28" s="32">
        <v>868</v>
      </c>
      <c r="K28" s="72">
        <v>5538000000</v>
      </c>
      <c r="L28" s="72">
        <v>11190000</v>
      </c>
      <c r="M28" s="72">
        <v>12820000</v>
      </c>
      <c r="N28">
        <v>399.6</v>
      </c>
      <c r="O28">
        <v>18460</v>
      </c>
      <c r="P28" s="72">
        <v>140000000</v>
      </c>
      <c r="Q28" s="72">
        <v>933600</v>
      </c>
      <c r="R28" s="72">
        <v>1470000</v>
      </c>
      <c r="S28">
        <v>63.5</v>
      </c>
      <c r="T28" s="32">
        <v>113.6</v>
      </c>
      <c r="U28" s="72">
        <v>8224000</v>
      </c>
      <c r="V28" s="72">
        <v>32070000000000</v>
      </c>
      <c r="W28" t="s">
        <v>369</v>
      </c>
      <c r="Y28" s="72"/>
      <c r="Z28" s="7" t="s">
        <v>460</v>
      </c>
      <c r="AA28" s="7"/>
    </row>
    <row r="29" spans="1:41" x14ac:dyDescent="0.25">
      <c r="A29" s="23" t="s">
        <v>187</v>
      </c>
      <c r="B29" s="24" t="s">
        <v>122</v>
      </c>
      <c r="C29" s="41">
        <v>114</v>
      </c>
      <c r="D29" s="42">
        <v>120</v>
      </c>
      <c r="E29" s="43">
        <v>5</v>
      </c>
      <c r="F29" s="43">
        <v>8</v>
      </c>
      <c r="G29" s="43">
        <v>12</v>
      </c>
      <c r="H29">
        <v>2530</v>
      </c>
      <c r="I29" s="44">
        <v>98</v>
      </c>
      <c r="J29" s="43">
        <v>74</v>
      </c>
      <c r="K29" s="72">
        <v>6062000</v>
      </c>
      <c r="L29" s="72">
        <v>106300</v>
      </c>
      <c r="M29" s="72">
        <v>119500</v>
      </c>
      <c r="N29">
        <v>48.9</v>
      </c>
      <c r="O29">
        <v>846.00000000000011</v>
      </c>
      <c r="P29" s="72">
        <v>2309000</v>
      </c>
      <c r="Q29" s="72">
        <v>38480</v>
      </c>
      <c r="R29" s="72">
        <v>58850</v>
      </c>
      <c r="S29">
        <v>30.2</v>
      </c>
      <c r="T29" s="44">
        <v>35.06</v>
      </c>
      <c r="U29" s="72">
        <v>59900</v>
      </c>
      <c r="V29" s="72">
        <v>6470000000</v>
      </c>
      <c r="W29" t="s">
        <v>369</v>
      </c>
      <c r="Y29" s="72"/>
      <c r="Z29" s="7" t="s">
        <v>461</v>
      </c>
      <c r="AA29" s="7"/>
    </row>
    <row r="30" spans="1:41" x14ac:dyDescent="0.25">
      <c r="A30" s="35" t="s">
        <v>192</v>
      </c>
      <c r="B30" s="36" t="s">
        <v>126</v>
      </c>
      <c r="C30" s="40">
        <v>133</v>
      </c>
      <c r="D30" s="37">
        <v>140</v>
      </c>
      <c r="E30" s="38">
        <v>5.5</v>
      </c>
      <c r="F30" s="38">
        <v>8.5</v>
      </c>
      <c r="G30" s="39">
        <v>12</v>
      </c>
      <c r="H30">
        <v>3140</v>
      </c>
      <c r="I30" s="27">
        <v>116</v>
      </c>
      <c r="J30" s="27">
        <v>92</v>
      </c>
      <c r="K30" s="72">
        <v>10330000</v>
      </c>
      <c r="L30" s="72">
        <v>155400</v>
      </c>
      <c r="M30" s="72">
        <v>173500</v>
      </c>
      <c r="N30">
        <v>57.300000000000004</v>
      </c>
      <c r="O30">
        <v>1011.9999999999999</v>
      </c>
      <c r="P30" s="72">
        <v>3893000</v>
      </c>
      <c r="Q30" s="72">
        <v>55620</v>
      </c>
      <c r="R30" s="72">
        <v>84850</v>
      </c>
      <c r="S30">
        <v>35.200000000000003</v>
      </c>
      <c r="T30" s="34">
        <v>36.56</v>
      </c>
      <c r="U30" s="72">
        <v>81300.000000000015</v>
      </c>
      <c r="V30" s="72">
        <v>15060000000</v>
      </c>
      <c r="W30" t="s">
        <v>369</v>
      </c>
      <c r="Y30" s="72"/>
      <c r="Z30" s="7" t="s">
        <v>462</v>
      </c>
      <c r="AA30" s="7"/>
    </row>
    <row r="31" spans="1:41" x14ac:dyDescent="0.25">
      <c r="A31" s="35" t="s">
        <v>197</v>
      </c>
      <c r="B31" s="24" t="s">
        <v>130</v>
      </c>
      <c r="C31" s="40">
        <v>152</v>
      </c>
      <c r="D31" s="37">
        <v>160</v>
      </c>
      <c r="E31" s="38">
        <v>6</v>
      </c>
      <c r="F31" s="38">
        <v>9</v>
      </c>
      <c r="G31" s="39">
        <v>15</v>
      </c>
      <c r="H31">
        <v>3879.9999999999995</v>
      </c>
      <c r="I31" s="27">
        <v>134</v>
      </c>
      <c r="J31" s="27">
        <v>104</v>
      </c>
      <c r="K31" s="72">
        <v>16730000</v>
      </c>
      <c r="L31" s="72">
        <v>220100</v>
      </c>
      <c r="M31" s="72">
        <v>245100</v>
      </c>
      <c r="N31">
        <v>65.7</v>
      </c>
      <c r="O31">
        <v>1321</v>
      </c>
      <c r="P31" s="72">
        <v>6156000</v>
      </c>
      <c r="Q31" s="72">
        <v>76950</v>
      </c>
      <c r="R31" s="72">
        <v>117600</v>
      </c>
      <c r="S31">
        <v>39.799999999999997</v>
      </c>
      <c r="T31" s="34">
        <v>41.57</v>
      </c>
      <c r="U31" s="72">
        <v>121900</v>
      </c>
      <c r="V31" s="72">
        <v>31410000000</v>
      </c>
      <c r="W31" t="s">
        <v>369</v>
      </c>
      <c r="Y31" s="72"/>
      <c r="AB31" s="75"/>
      <c r="AD31" s="76"/>
    </row>
    <row r="32" spans="1:41" x14ac:dyDescent="0.25">
      <c r="A32" s="23" t="s">
        <v>202</v>
      </c>
      <c r="B32" s="24" t="s">
        <v>134</v>
      </c>
      <c r="C32" s="51">
        <v>171</v>
      </c>
      <c r="D32" s="48">
        <v>180</v>
      </c>
      <c r="E32" s="43">
        <v>6</v>
      </c>
      <c r="F32" s="43">
        <v>9.5</v>
      </c>
      <c r="G32" s="43">
        <v>15</v>
      </c>
      <c r="H32">
        <v>4530</v>
      </c>
      <c r="I32" s="44">
        <v>152</v>
      </c>
      <c r="J32" s="43">
        <v>122</v>
      </c>
      <c r="K32" s="72">
        <v>25100000</v>
      </c>
      <c r="L32" s="72">
        <v>293600</v>
      </c>
      <c r="M32" s="72">
        <v>324900</v>
      </c>
      <c r="N32">
        <v>74.5</v>
      </c>
      <c r="O32">
        <v>1447</v>
      </c>
      <c r="P32" s="72">
        <v>9246000</v>
      </c>
      <c r="Q32" s="72">
        <v>102700</v>
      </c>
      <c r="R32" s="72">
        <v>156500</v>
      </c>
      <c r="S32">
        <v>45.199999999999996</v>
      </c>
      <c r="T32" s="69">
        <v>42.57</v>
      </c>
      <c r="U32" s="72">
        <v>148000</v>
      </c>
      <c r="V32" s="72">
        <v>60210000000</v>
      </c>
      <c r="W32" t="s">
        <v>369</v>
      </c>
      <c r="Y32" s="72"/>
      <c r="Z32" s="71" t="s">
        <v>406</v>
      </c>
      <c r="AA32" s="71"/>
      <c r="AB32" s="71"/>
      <c r="AC32" s="71"/>
      <c r="AD32" s="71"/>
      <c r="AE32" s="71"/>
      <c r="AF32" s="71"/>
      <c r="AG32" s="71"/>
      <c r="AH32" s="71"/>
      <c r="AI32" s="71"/>
      <c r="AJ32" s="71"/>
      <c r="AK32" s="71"/>
      <c r="AL32" s="71"/>
    </row>
    <row r="33" spans="1:33" x14ac:dyDescent="0.25">
      <c r="A33" s="35" t="s">
        <v>207</v>
      </c>
      <c r="B33" s="36" t="s">
        <v>138</v>
      </c>
      <c r="C33" s="40">
        <v>190</v>
      </c>
      <c r="D33" s="37">
        <v>200</v>
      </c>
      <c r="E33" s="38">
        <v>6.5</v>
      </c>
      <c r="F33" s="38">
        <v>10</v>
      </c>
      <c r="G33" s="39">
        <v>18</v>
      </c>
      <c r="H33">
        <v>5380</v>
      </c>
      <c r="I33" s="27">
        <v>170</v>
      </c>
      <c r="J33" s="27">
        <v>134</v>
      </c>
      <c r="K33" s="72">
        <v>36920000</v>
      </c>
      <c r="L33" s="72">
        <v>388600</v>
      </c>
      <c r="M33" s="72">
        <v>429500</v>
      </c>
      <c r="N33">
        <v>82.8</v>
      </c>
      <c r="O33">
        <v>1807.9999999999998</v>
      </c>
      <c r="P33" s="72">
        <v>13360000</v>
      </c>
      <c r="Q33" s="72">
        <v>133600</v>
      </c>
      <c r="R33" s="72">
        <v>203800</v>
      </c>
      <c r="S33">
        <v>49.800000000000004</v>
      </c>
      <c r="T33" s="34">
        <v>47.59</v>
      </c>
      <c r="U33" s="72">
        <v>209800</v>
      </c>
      <c r="V33" s="72">
        <v>108000000000</v>
      </c>
      <c r="W33" t="s">
        <v>369</v>
      </c>
      <c r="Y33" s="72"/>
    </row>
    <row r="34" spans="1:33" x14ac:dyDescent="0.25">
      <c r="A34" s="35" t="s">
        <v>212</v>
      </c>
      <c r="B34" s="36" t="s">
        <v>141</v>
      </c>
      <c r="C34" s="40">
        <v>210</v>
      </c>
      <c r="D34" s="37">
        <v>220</v>
      </c>
      <c r="E34" s="38">
        <v>7</v>
      </c>
      <c r="F34" s="38">
        <v>11</v>
      </c>
      <c r="G34" s="39">
        <v>18</v>
      </c>
      <c r="H34">
        <v>6430</v>
      </c>
      <c r="I34" s="27">
        <v>188</v>
      </c>
      <c r="J34" s="27">
        <v>152</v>
      </c>
      <c r="K34" s="72">
        <v>54100000</v>
      </c>
      <c r="L34" s="72">
        <v>515200</v>
      </c>
      <c r="M34" s="72">
        <v>568500</v>
      </c>
      <c r="N34">
        <v>91.7</v>
      </c>
      <c r="O34">
        <v>2067</v>
      </c>
      <c r="P34" s="72">
        <v>19550000</v>
      </c>
      <c r="Q34" s="72">
        <v>177700</v>
      </c>
      <c r="R34" s="72">
        <v>270600</v>
      </c>
      <c r="S34">
        <v>55.099999999999994</v>
      </c>
      <c r="T34" s="34">
        <v>50.09</v>
      </c>
      <c r="U34" s="72">
        <v>284600</v>
      </c>
      <c r="V34" s="72">
        <v>193300000000</v>
      </c>
      <c r="W34" t="s">
        <v>369</v>
      </c>
      <c r="Y34" s="72"/>
      <c r="Z34" s="7"/>
      <c r="AA34" s="7" t="s">
        <v>65</v>
      </c>
      <c r="AB34" s="7" t="s">
        <v>65</v>
      </c>
      <c r="AC34" s="7" t="s">
        <v>430</v>
      </c>
      <c r="AD34" s="7" t="s">
        <v>430</v>
      </c>
      <c r="AE34" s="7"/>
      <c r="AF34" s="7"/>
      <c r="AG34" s="7"/>
    </row>
    <row r="35" spans="1:33" x14ac:dyDescent="0.25">
      <c r="A35" s="35" t="s">
        <v>217</v>
      </c>
      <c r="B35" s="36" t="s">
        <v>144</v>
      </c>
      <c r="C35" s="40">
        <v>230</v>
      </c>
      <c r="D35" s="37">
        <v>240</v>
      </c>
      <c r="E35" s="38">
        <v>7.5</v>
      </c>
      <c r="F35" s="38">
        <v>12</v>
      </c>
      <c r="G35" s="39">
        <v>21</v>
      </c>
      <c r="H35">
        <v>7680</v>
      </c>
      <c r="I35" s="27">
        <v>206</v>
      </c>
      <c r="J35" s="27">
        <v>164</v>
      </c>
      <c r="K35" s="72">
        <v>77630000</v>
      </c>
      <c r="L35" s="72">
        <v>675100</v>
      </c>
      <c r="M35" s="72">
        <v>744600</v>
      </c>
      <c r="N35">
        <v>100.5</v>
      </c>
      <c r="O35">
        <v>2518</v>
      </c>
      <c r="P35" s="72">
        <v>27690000</v>
      </c>
      <c r="Q35" s="72">
        <v>230700</v>
      </c>
      <c r="R35" s="72">
        <v>351700</v>
      </c>
      <c r="S35">
        <v>60</v>
      </c>
      <c r="T35" s="34">
        <v>56.1</v>
      </c>
      <c r="U35" s="72">
        <v>415500</v>
      </c>
      <c r="V35" s="72">
        <v>328500000000</v>
      </c>
      <c r="W35" t="s">
        <v>369</v>
      </c>
      <c r="Y35" s="72"/>
      <c r="Z35" s="7" t="s">
        <v>377</v>
      </c>
      <c r="AA35" s="7" t="s">
        <v>52</v>
      </c>
      <c r="AB35" s="81" t="s">
        <v>533</v>
      </c>
      <c r="AC35" s="81" t="s">
        <v>52</v>
      </c>
      <c r="AD35" s="81" t="s">
        <v>533</v>
      </c>
      <c r="AE35" s="7"/>
      <c r="AF35" s="7"/>
      <c r="AG35" s="7"/>
    </row>
    <row r="36" spans="1:33" x14ac:dyDescent="0.25">
      <c r="A36" s="23" t="s">
        <v>222</v>
      </c>
      <c r="B36" s="36" t="s">
        <v>147</v>
      </c>
      <c r="C36" s="32">
        <v>250</v>
      </c>
      <c r="D36" s="32">
        <v>260</v>
      </c>
      <c r="E36" s="32">
        <v>7.5</v>
      </c>
      <c r="F36" s="32">
        <v>12.5</v>
      </c>
      <c r="G36" s="33">
        <v>24</v>
      </c>
      <c r="H36">
        <v>8680</v>
      </c>
      <c r="I36" s="32">
        <v>225</v>
      </c>
      <c r="J36" s="32">
        <v>177</v>
      </c>
      <c r="K36" s="72">
        <v>104500000</v>
      </c>
      <c r="L36" s="72">
        <v>836400</v>
      </c>
      <c r="M36" s="72">
        <v>919800</v>
      </c>
      <c r="N36">
        <v>109.7</v>
      </c>
      <c r="O36">
        <v>2876</v>
      </c>
      <c r="P36" s="72">
        <v>36680000</v>
      </c>
      <c r="Q36" s="72">
        <v>282100</v>
      </c>
      <c r="R36" s="72">
        <v>430200</v>
      </c>
      <c r="S36">
        <v>65</v>
      </c>
      <c r="T36" s="32">
        <v>60.62</v>
      </c>
      <c r="U36" s="72">
        <v>523700</v>
      </c>
      <c r="V36" s="72">
        <v>516400000000</v>
      </c>
      <c r="W36" t="s">
        <v>369</v>
      </c>
      <c r="Y36" s="72"/>
      <c r="Z36" s="7" t="s">
        <v>61</v>
      </c>
      <c r="AA36" s="7">
        <v>235</v>
      </c>
      <c r="AB36" s="7">
        <v>360</v>
      </c>
      <c r="AC36" s="7">
        <v>215</v>
      </c>
      <c r="AD36" s="7">
        <v>360</v>
      </c>
      <c r="AE36" s="7" t="s">
        <v>439</v>
      </c>
      <c r="AF36" s="7" t="s">
        <v>438</v>
      </c>
      <c r="AG36" s="7"/>
    </row>
    <row r="37" spans="1:33" x14ac:dyDescent="0.25">
      <c r="A37" s="35" t="s">
        <v>227</v>
      </c>
      <c r="B37" s="36" t="s">
        <v>149</v>
      </c>
      <c r="C37" s="40">
        <v>270</v>
      </c>
      <c r="D37" s="37">
        <v>280</v>
      </c>
      <c r="E37" s="37">
        <v>8</v>
      </c>
      <c r="F37" s="37">
        <v>13</v>
      </c>
      <c r="G37" s="47">
        <v>24</v>
      </c>
      <c r="H37">
        <v>9730</v>
      </c>
      <c r="I37" s="32">
        <v>244</v>
      </c>
      <c r="J37" s="32">
        <v>196</v>
      </c>
      <c r="K37" s="72">
        <v>136700000</v>
      </c>
      <c r="L37" s="72">
        <v>1012835.39</v>
      </c>
      <c r="M37" s="72">
        <v>1112000</v>
      </c>
      <c r="N37">
        <v>118.6</v>
      </c>
      <c r="O37">
        <v>3174</v>
      </c>
      <c r="P37" s="72">
        <v>47630000</v>
      </c>
      <c r="Q37" s="72">
        <v>340200</v>
      </c>
      <c r="R37" s="72">
        <v>518100</v>
      </c>
      <c r="S37">
        <v>70</v>
      </c>
      <c r="T37" s="32">
        <v>62.12</v>
      </c>
      <c r="U37" s="72">
        <v>621000</v>
      </c>
      <c r="V37" s="72">
        <v>785400000000</v>
      </c>
      <c r="W37" t="s">
        <v>369</v>
      </c>
      <c r="Y37" s="72"/>
      <c r="Z37" s="7" t="s">
        <v>62</v>
      </c>
      <c r="AA37" s="7">
        <v>275</v>
      </c>
      <c r="AB37" s="7">
        <v>430</v>
      </c>
      <c r="AC37" s="7">
        <v>255</v>
      </c>
      <c r="AD37" s="7">
        <v>410</v>
      </c>
      <c r="AE37" s="7" t="s">
        <v>439</v>
      </c>
      <c r="AF37" s="7" t="s">
        <v>438</v>
      </c>
      <c r="AG37" s="7"/>
    </row>
    <row r="38" spans="1:33" x14ac:dyDescent="0.25">
      <c r="A38" s="35" t="s">
        <v>232</v>
      </c>
      <c r="B38" s="36" t="s">
        <v>151</v>
      </c>
      <c r="C38" s="40">
        <v>290</v>
      </c>
      <c r="D38" s="37">
        <v>300</v>
      </c>
      <c r="E38" s="37">
        <v>8.5</v>
      </c>
      <c r="F38" s="37">
        <v>14</v>
      </c>
      <c r="G38" s="47">
        <v>27</v>
      </c>
      <c r="H38">
        <v>11250</v>
      </c>
      <c r="I38" s="32">
        <v>262</v>
      </c>
      <c r="J38" s="32">
        <v>208</v>
      </c>
      <c r="K38" s="72">
        <v>182600000</v>
      </c>
      <c r="L38" s="72">
        <v>1259549.4099999999</v>
      </c>
      <c r="M38" s="72">
        <v>1383000</v>
      </c>
      <c r="N38">
        <v>127.4</v>
      </c>
      <c r="O38">
        <v>3728</v>
      </c>
      <c r="P38" s="72">
        <v>63100000</v>
      </c>
      <c r="Q38" s="72">
        <v>420600</v>
      </c>
      <c r="R38" s="72">
        <v>641200</v>
      </c>
      <c r="S38">
        <v>74.900000000000006</v>
      </c>
      <c r="T38" s="32">
        <v>68.13</v>
      </c>
      <c r="U38" s="72">
        <v>851700</v>
      </c>
      <c r="V38" s="72">
        <v>1200000000000</v>
      </c>
      <c r="W38" t="s">
        <v>369</v>
      </c>
      <c r="Y38" s="72"/>
      <c r="Z38" s="7" t="s">
        <v>63</v>
      </c>
      <c r="AA38" s="7">
        <v>355</v>
      </c>
      <c r="AB38" s="7">
        <v>490</v>
      </c>
      <c r="AC38" s="7">
        <v>335</v>
      </c>
      <c r="AD38" s="7">
        <v>470</v>
      </c>
      <c r="AE38" s="7" t="s">
        <v>439</v>
      </c>
      <c r="AF38" s="7" t="s">
        <v>438</v>
      </c>
      <c r="AG38" s="7"/>
    </row>
    <row r="39" spans="1:33" x14ac:dyDescent="0.25">
      <c r="A39" s="35" t="s">
        <v>237</v>
      </c>
      <c r="B39" s="36" t="s">
        <v>153</v>
      </c>
      <c r="C39" s="40">
        <v>310</v>
      </c>
      <c r="D39" s="37">
        <v>300</v>
      </c>
      <c r="E39" s="37">
        <v>9</v>
      </c>
      <c r="F39" s="37">
        <v>15.5</v>
      </c>
      <c r="G39" s="47">
        <v>27</v>
      </c>
      <c r="H39">
        <v>12440</v>
      </c>
      <c r="I39" s="32">
        <v>279</v>
      </c>
      <c r="J39" s="32">
        <v>225</v>
      </c>
      <c r="K39" s="72">
        <v>229300000</v>
      </c>
      <c r="L39" s="72">
        <v>1479261.8</v>
      </c>
      <c r="M39" s="72">
        <v>1628000</v>
      </c>
      <c r="N39">
        <v>135.80000000000001</v>
      </c>
      <c r="O39">
        <v>4113</v>
      </c>
      <c r="P39" s="72">
        <v>69850000</v>
      </c>
      <c r="Q39" s="72">
        <v>465700</v>
      </c>
      <c r="R39" s="72">
        <v>709700</v>
      </c>
      <c r="S39">
        <v>74.900000000000006</v>
      </c>
      <c r="T39" s="32">
        <v>71.63</v>
      </c>
      <c r="U39" s="72">
        <v>1080000</v>
      </c>
      <c r="V39" s="72">
        <v>1512000000000</v>
      </c>
      <c r="W39" t="s">
        <v>369</v>
      </c>
      <c r="Y39" s="72"/>
      <c r="Z39" s="7" t="s">
        <v>64</v>
      </c>
      <c r="AA39" s="7">
        <v>440</v>
      </c>
      <c r="AB39" s="7">
        <v>550</v>
      </c>
      <c r="AC39" s="7">
        <v>410</v>
      </c>
      <c r="AD39" s="7">
        <v>550</v>
      </c>
      <c r="AE39" s="7" t="s">
        <v>439</v>
      </c>
      <c r="AF39" s="7" t="s">
        <v>438</v>
      </c>
      <c r="AG39" s="7"/>
    </row>
    <row r="40" spans="1:33" x14ac:dyDescent="0.25">
      <c r="A40" s="35" t="s">
        <v>242</v>
      </c>
      <c r="B40" s="36">
        <v>105</v>
      </c>
      <c r="C40" s="40">
        <v>330</v>
      </c>
      <c r="D40" s="37">
        <v>300</v>
      </c>
      <c r="E40" s="37">
        <v>9.5</v>
      </c>
      <c r="F40" s="37">
        <v>16.5</v>
      </c>
      <c r="G40" s="47">
        <v>27</v>
      </c>
      <c r="H40">
        <v>13350</v>
      </c>
      <c r="I40" s="32">
        <v>297</v>
      </c>
      <c r="J40" s="32">
        <v>243</v>
      </c>
      <c r="K40" s="72">
        <v>276900000</v>
      </c>
      <c r="L40" s="72">
        <v>1678367.9</v>
      </c>
      <c r="M40" s="72">
        <v>1850000</v>
      </c>
      <c r="N40">
        <v>144</v>
      </c>
      <c r="O40">
        <v>4495</v>
      </c>
      <c r="P40" s="72">
        <v>74360000</v>
      </c>
      <c r="Q40" s="72">
        <v>495700</v>
      </c>
      <c r="R40" s="72">
        <v>755900</v>
      </c>
      <c r="S40">
        <v>74.599999999999994</v>
      </c>
      <c r="T40" s="32">
        <v>74.13</v>
      </c>
      <c r="U40" s="72">
        <v>1272000</v>
      </c>
      <c r="V40" s="72">
        <v>1824000000000</v>
      </c>
      <c r="W40" t="s">
        <v>369</v>
      </c>
      <c r="Y40" s="72"/>
      <c r="Z40" s="7" t="s">
        <v>407</v>
      </c>
      <c r="AA40" s="7">
        <v>275</v>
      </c>
      <c r="AB40" s="7">
        <v>390</v>
      </c>
      <c r="AC40" s="7">
        <v>255</v>
      </c>
      <c r="AD40" s="7">
        <v>370</v>
      </c>
      <c r="AE40" s="7" t="s">
        <v>439</v>
      </c>
      <c r="AF40" s="7" t="s">
        <v>438</v>
      </c>
      <c r="AG40" s="7"/>
    </row>
    <row r="41" spans="1:33" x14ac:dyDescent="0.25">
      <c r="A41" s="35" t="s">
        <v>246</v>
      </c>
      <c r="B41" s="36">
        <v>112</v>
      </c>
      <c r="C41" s="40">
        <v>350</v>
      </c>
      <c r="D41" s="37">
        <v>300</v>
      </c>
      <c r="E41" s="37">
        <v>10</v>
      </c>
      <c r="F41" s="37">
        <v>17.5</v>
      </c>
      <c r="G41" s="47">
        <v>27</v>
      </c>
      <c r="H41">
        <v>14280.000000000002</v>
      </c>
      <c r="I41" s="32">
        <v>315</v>
      </c>
      <c r="J41" s="32">
        <v>261</v>
      </c>
      <c r="K41" s="72">
        <v>330900000</v>
      </c>
      <c r="L41" s="72">
        <v>1890842.94</v>
      </c>
      <c r="M41" s="72">
        <v>2088000</v>
      </c>
      <c r="N41">
        <v>152.20000000000002</v>
      </c>
      <c r="O41">
        <v>4896</v>
      </c>
      <c r="P41" s="72">
        <v>78870000</v>
      </c>
      <c r="Q41" s="72">
        <v>525800</v>
      </c>
      <c r="R41" s="72">
        <v>802300</v>
      </c>
      <c r="S41">
        <v>74.3</v>
      </c>
      <c r="T41" s="32">
        <v>76.63</v>
      </c>
      <c r="U41" s="72">
        <v>1488000</v>
      </c>
      <c r="V41" s="72">
        <v>2177000000000</v>
      </c>
      <c r="W41" t="s">
        <v>369</v>
      </c>
      <c r="Y41" s="72"/>
      <c r="Z41" s="7" t="s">
        <v>408</v>
      </c>
      <c r="AA41" s="7">
        <v>355</v>
      </c>
      <c r="AB41" s="7">
        <v>490</v>
      </c>
      <c r="AC41" s="7">
        <v>335</v>
      </c>
      <c r="AD41" s="7">
        <v>470</v>
      </c>
      <c r="AE41" s="7" t="s">
        <v>439</v>
      </c>
      <c r="AF41" s="7" t="s">
        <v>438</v>
      </c>
      <c r="AG41" s="7"/>
    </row>
    <row r="42" spans="1:33" x14ac:dyDescent="0.25">
      <c r="A42" s="64" t="s">
        <v>250</v>
      </c>
      <c r="B42" s="53">
        <v>125</v>
      </c>
      <c r="C42" s="62">
        <v>390</v>
      </c>
      <c r="D42" s="61">
        <v>300</v>
      </c>
      <c r="E42" s="61">
        <v>11</v>
      </c>
      <c r="F42" s="61">
        <v>19</v>
      </c>
      <c r="G42" s="66">
        <v>27</v>
      </c>
      <c r="H42">
        <v>15900</v>
      </c>
      <c r="I42" s="26">
        <v>352</v>
      </c>
      <c r="J42" s="26">
        <v>298</v>
      </c>
      <c r="K42" s="72">
        <v>450700000</v>
      </c>
      <c r="L42" s="72">
        <v>2311248.85</v>
      </c>
      <c r="M42" s="72">
        <v>2562000</v>
      </c>
      <c r="N42">
        <v>168.4</v>
      </c>
      <c r="O42">
        <v>5733</v>
      </c>
      <c r="P42" s="72">
        <v>85640000</v>
      </c>
      <c r="Q42" s="72">
        <v>570900</v>
      </c>
      <c r="R42" s="72">
        <v>872900</v>
      </c>
      <c r="S42">
        <v>73.400000000000006</v>
      </c>
      <c r="T42" s="31">
        <v>80.63</v>
      </c>
      <c r="U42" s="72">
        <v>1890000</v>
      </c>
      <c r="V42" s="72">
        <v>2942000000000</v>
      </c>
      <c r="W42" t="s">
        <v>369</v>
      </c>
      <c r="Y42" s="72"/>
      <c r="Z42" s="7" t="s">
        <v>409</v>
      </c>
      <c r="AA42" s="7">
        <v>420</v>
      </c>
      <c r="AB42" s="7">
        <v>520</v>
      </c>
      <c r="AC42" s="7">
        <v>390</v>
      </c>
      <c r="AD42" s="7">
        <v>520</v>
      </c>
      <c r="AE42" s="7" t="s">
        <v>439</v>
      </c>
      <c r="AF42" s="7" t="s">
        <v>438</v>
      </c>
      <c r="AG42" s="7"/>
    </row>
    <row r="43" spans="1:33" x14ac:dyDescent="0.25">
      <c r="A43" s="35" t="s">
        <v>254</v>
      </c>
      <c r="B43" s="36">
        <v>140</v>
      </c>
      <c r="C43" s="40">
        <v>440</v>
      </c>
      <c r="D43" s="37">
        <v>300</v>
      </c>
      <c r="E43" s="37">
        <v>11.5</v>
      </c>
      <c r="F43" s="37">
        <v>21</v>
      </c>
      <c r="G43" s="47">
        <v>27</v>
      </c>
      <c r="H43">
        <v>17800</v>
      </c>
      <c r="I43" s="32">
        <v>398</v>
      </c>
      <c r="J43" s="32">
        <v>344</v>
      </c>
      <c r="K43" s="72">
        <v>637200000</v>
      </c>
      <c r="L43" s="72">
        <v>2896435.59</v>
      </c>
      <c r="M43" s="72">
        <v>3216000</v>
      </c>
      <c r="N43">
        <v>189.20000000000002</v>
      </c>
      <c r="O43">
        <v>6578</v>
      </c>
      <c r="P43" s="72">
        <v>94650000</v>
      </c>
      <c r="Q43" s="72">
        <v>631000</v>
      </c>
      <c r="R43" s="72">
        <v>965500</v>
      </c>
      <c r="S43">
        <v>72.900000000000006</v>
      </c>
      <c r="T43" s="32">
        <v>85.13</v>
      </c>
      <c r="U43" s="72">
        <v>2438000</v>
      </c>
      <c r="V43" s="72">
        <v>4148000000000</v>
      </c>
      <c r="W43" t="s">
        <v>369</v>
      </c>
      <c r="Y43" s="72"/>
      <c r="Z43" s="7" t="s">
        <v>410</v>
      </c>
      <c r="AA43" s="7">
        <v>460</v>
      </c>
      <c r="AB43" s="7">
        <v>540</v>
      </c>
      <c r="AC43" s="7">
        <v>430</v>
      </c>
      <c r="AD43" s="7">
        <v>540</v>
      </c>
      <c r="AE43" s="7" t="s">
        <v>439</v>
      </c>
      <c r="AF43" s="7" t="s">
        <v>438</v>
      </c>
      <c r="AG43" s="7"/>
    </row>
    <row r="44" spans="1:33" x14ac:dyDescent="0.25">
      <c r="A44" s="35" t="s">
        <v>258</v>
      </c>
      <c r="B44" s="36">
        <v>155</v>
      </c>
      <c r="C44" s="40">
        <v>490</v>
      </c>
      <c r="D44" s="37">
        <v>300</v>
      </c>
      <c r="E44" s="37">
        <v>12</v>
      </c>
      <c r="F44" s="37">
        <v>23</v>
      </c>
      <c r="G44" s="47">
        <v>27</v>
      </c>
      <c r="H44">
        <v>19750</v>
      </c>
      <c r="I44" s="32">
        <v>444</v>
      </c>
      <c r="J44" s="32">
        <v>390</v>
      </c>
      <c r="K44" s="72">
        <v>869700000</v>
      </c>
      <c r="L44" s="72">
        <v>3549988.67</v>
      </c>
      <c r="M44" s="72">
        <v>3949000</v>
      </c>
      <c r="N44">
        <v>209.8</v>
      </c>
      <c r="O44">
        <v>7472</v>
      </c>
      <c r="P44" s="72">
        <v>103700000</v>
      </c>
      <c r="Q44" s="72">
        <v>691100</v>
      </c>
      <c r="R44" s="72">
        <v>1059000</v>
      </c>
      <c r="S44">
        <v>72.400000000000006</v>
      </c>
      <c r="T44" s="31">
        <v>89.63</v>
      </c>
      <c r="U44" s="72">
        <v>3093000</v>
      </c>
      <c r="V44" s="72">
        <v>5643000000000</v>
      </c>
      <c r="W44" t="s">
        <v>369</v>
      </c>
      <c r="Y44" s="72"/>
      <c r="Z44" s="7" t="s">
        <v>411</v>
      </c>
      <c r="AA44" s="7">
        <v>275</v>
      </c>
      <c r="AB44" s="7">
        <v>370</v>
      </c>
      <c r="AC44" s="7">
        <v>255</v>
      </c>
      <c r="AD44" s="7">
        <v>360</v>
      </c>
      <c r="AE44" s="7" t="s">
        <v>439</v>
      </c>
      <c r="AF44" s="7" t="s">
        <v>438</v>
      </c>
      <c r="AG44" s="7"/>
    </row>
    <row r="45" spans="1:33" x14ac:dyDescent="0.25">
      <c r="A45" s="35" t="s">
        <v>262</v>
      </c>
      <c r="B45" s="36">
        <v>166</v>
      </c>
      <c r="C45" s="40">
        <v>540</v>
      </c>
      <c r="D45" s="37">
        <v>300</v>
      </c>
      <c r="E45" s="37">
        <v>12.5</v>
      </c>
      <c r="F45" s="37">
        <v>24</v>
      </c>
      <c r="G45" s="47">
        <v>27</v>
      </c>
      <c r="H45">
        <v>21180</v>
      </c>
      <c r="I45" s="32">
        <v>492</v>
      </c>
      <c r="J45" s="32">
        <v>438</v>
      </c>
      <c r="K45" s="72">
        <v>1119000000</v>
      </c>
      <c r="L45" s="72">
        <v>4145635.38</v>
      </c>
      <c r="M45" s="72">
        <v>4622000</v>
      </c>
      <c r="N45">
        <v>229.89999999999998</v>
      </c>
      <c r="O45">
        <v>8372</v>
      </c>
      <c r="P45" s="72">
        <v>108200000</v>
      </c>
      <c r="Q45" s="72">
        <v>721300</v>
      </c>
      <c r="R45" s="72">
        <v>1107000</v>
      </c>
      <c r="S45">
        <v>71.5</v>
      </c>
      <c r="T45" s="32">
        <v>92.13</v>
      </c>
      <c r="U45" s="72">
        <v>3515000</v>
      </c>
      <c r="V45" s="72">
        <v>7189000000000</v>
      </c>
      <c r="W45" t="s">
        <v>369</v>
      </c>
      <c r="Y45" s="72"/>
      <c r="Z45" s="7" t="s">
        <v>412</v>
      </c>
      <c r="AA45" s="7">
        <v>355</v>
      </c>
      <c r="AB45" s="7">
        <v>470</v>
      </c>
      <c r="AC45" s="7">
        <v>335</v>
      </c>
      <c r="AD45" s="7">
        <v>450</v>
      </c>
      <c r="AE45" s="7" t="s">
        <v>439</v>
      </c>
      <c r="AF45" s="7" t="s">
        <v>438</v>
      </c>
      <c r="AG45" s="7"/>
    </row>
    <row r="46" spans="1:33" x14ac:dyDescent="0.25">
      <c r="A46" s="35" t="s">
        <v>266</v>
      </c>
      <c r="B46" s="36">
        <v>178</v>
      </c>
      <c r="C46" s="40">
        <v>590</v>
      </c>
      <c r="D46" s="37">
        <v>300</v>
      </c>
      <c r="E46" s="37">
        <v>13</v>
      </c>
      <c r="F46" s="37">
        <v>25</v>
      </c>
      <c r="G46" s="47">
        <v>27</v>
      </c>
      <c r="H46">
        <v>22650</v>
      </c>
      <c r="I46" s="32">
        <v>540</v>
      </c>
      <c r="J46" s="32">
        <v>486</v>
      </c>
      <c r="K46" s="72">
        <v>1412000000</v>
      </c>
      <c r="L46" s="72">
        <v>4786713.0599999996</v>
      </c>
      <c r="M46" s="72">
        <v>5350000</v>
      </c>
      <c r="N46">
        <v>249.7</v>
      </c>
      <c r="O46">
        <v>9321</v>
      </c>
      <c r="P46" s="72">
        <v>112700000</v>
      </c>
      <c r="Q46" s="72">
        <v>751400</v>
      </c>
      <c r="R46" s="72">
        <v>1156000</v>
      </c>
      <c r="S46">
        <v>70.5</v>
      </c>
      <c r="T46" s="32">
        <v>94.63</v>
      </c>
      <c r="U46" s="72">
        <v>3978000</v>
      </c>
      <c r="V46" s="72">
        <v>8978000000000</v>
      </c>
      <c r="W46" t="s">
        <v>369</v>
      </c>
      <c r="Y46" s="72"/>
      <c r="Z46" s="7" t="s">
        <v>413</v>
      </c>
      <c r="AA46" s="7">
        <v>420</v>
      </c>
      <c r="AB46" s="7">
        <v>520</v>
      </c>
      <c r="AC46" s="7">
        <v>390</v>
      </c>
      <c r="AD46" s="7">
        <v>500</v>
      </c>
      <c r="AE46" s="7" t="s">
        <v>439</v>
      </c>
      <c r="AF46" s="7" t="s">
        <v>438</v>
      </c>
      <c r="AG46" s="7"/>
    </row>
    <row r="47" spans="1:33" x14ac:dyDescent="0.25">
      <c r="A47" s="64" t="s">
        <v>270</v>
      </c>
      <c r="B47" s="55">
        <v>190</v>
      </c>
      <c r="C47" s="62">
        <v>640</v>
      </c>
      <c r="D47" s="61">
        <v>300</v>
      </c>
      <c r="E47" s="61">
        <v>13.5</v>
      </c>
      <c r="F47" s="61">
        <v>26</v>
      </c>
      <c r="G47" s="66">
        <v>27</v>
      </c>
      <c r="H47">
        <v>24160</v>
      </c>
      <c r="I47" s="26">
        <v>588</v>
      </c>
      <c r="J47" s="26">
        <v>534</v>
      </c>
      <c r="K47" s="72">
        <v>1752000000</v>
      </c>
      <c r="L47" s="72">
        <v>5474317.2000000002</v>
      </c>
      <c r="M47" s="72">
        <v>6136000</v>
      </c>
      <c r="N47">
        <v>269.3</v>
      </c>
      <c r="O47">
        <v>10320</v>
      </c>
      <c r="P47" s="72">
        <v>117200000</v>
      </c>
      <c r="Q47" s="72">
        <v>781600</v>
      </c>
      <c r="R47" s="72">
        <v>1205000</v>
      </c>
      <c r="S47">
        <v>69.7</v>
      </c>
      <c r="T47" s="31">
        <v>97.13</v>
      </c>
      <c r="U47" s="72">
        <v>4483000</v>
      </c>
      <c r="V47" s="72">
        <v>11030000000000</v>
      </c>
      <c r="W47" t="s">
        <v>369</v>
      </c>
      <c r="Y47" s="72"/>
      <c r="Z47" s="7" t="s">
        <v>414</v>
      </c>
      <c r="AA47" s="7">
        <v>460</v>
      </c>
      <c r="AB47" s="7">
        <v>540</v>
      </c>
      <c r="AC47" s="7">
        <v>430</v>
      </c>
      <c r="AD47" s="7">
        <v>530</v>
      </c>
      <c r="AE47" s="7" t="s">
        <v>439</v>
      </c>
      <c r="AF47" s="7" t="s">
        <v>438</v>
      </c>
      <c r="AG47" s="7"/>
    </row>
    <row r="48" spans="1:33" x14ac:dyDescent="0.25">
      <c r="A48" s="35" t="s">
        <v>274</v>
      </c>
      <c r="B48" s="36">
        <v>204</v>
      </c>
      <c r="C48" s="40">
        <v>690</v>
      </c>
      <c r="D48" s="37">
        <v>300</v>
      </c>
      <c r="E48" s="37">
        <v>14.5</v>
      </c>
      <c r="F48" s="37">
        <v>27</v>
      </c>
      <c r="G48" s="47">
        <v>27</v>
      </c>
      <c r="H48">
        <v>26050</v>
      </c>
      <c r="I48" s="32">
        <v>636</v>
      </c>
      <c r="J48" s="32">
        <v>582</v>
      </c>
      <c r="K48" s="72">
        <v>2153000000</v>
      </c>
      <c r="L48" s="72">
        <v>6240616.25</v>
      </c>
      <c r="M48" s="72">
        <v>7032000</v>
      </c>
      <c r="N48">
        <v>287.5</v>
      </c>
      <c r="O48">
        <v>11700</v>
      </c>
      <c r="P48" s="72">
        <v>121800000</v>
      </c>
      <c r="Q48" s="72">
        <v>811900</v>
      </c>
      <c r="R48" s="72">
        <v>1257000</v>
      </c>
      <c r="S48">
        <v>68.400000000000006</v>
      </c>
      <c r="T48" s="32">
        <v>100.1</v>
      </c>
      <c r="U48" s="72">
        <v>5139000</v>
      </c>
      <c r="V48" s="72">
        <v>13350000000000</v>
      </c>
      <c r="W48" t="s">
        <v>369</v>
      </c>
      <c r="Y48" s="72"/>
      <c r="Z48" s="7" t="s">
        <v>415</v>
      </c>
      <c r="AA48" s="7">
        <v>235</v>
      </c>
      <c r="AB48" s="7">
        <v>360</v>
      </c>
      <c r="AC48" s="7">
        <v>215</v>
      </c>
      <c r="AD48" s="7">
        <v>340</v>
      </c>
      <c r="AE48" s="7" t="s">
        <v>439</v>
      </c>
      <c r="AF48" s="7" t="s">
        <v>438</v>
      </c>
      <c r="AG48" s="7"/>
    </row>
    <row r="49" spans="1:33" x14ac:dyDescent="0.25">
      <c r="A49" s="35" t="s">
        <v>278</v>
      </c>
      <c r="B49" s="36">
        <v>224</v>
      </c>
      <c r="C49" s="40">
        <v>790</v>
      </c>
      <c r="D49" s="37">
        <v>300</v>
      </c>
      <c r="E49" s="37">
        <v>15</v>
      </c>
      <c r="F49" s="37">
        <v>28</v>
      </c>
      <c r="G49" s="47">
        <v>30</v>
      </c>
      <c r="H49">
        <v>28580</v>
      </c>
      <c r="I49" s="32">
        <v>734</v>
      </c>
      <c r="J49" s="32">
        <v>674</v>
      </c>
      <c r="K49" s="72">
        <v>3034000000</v>
      </c>
      <c r="L49" s="72">
        <v>7682088.4400000004</v>
      </c>
      <c r="M49" s="72">
        <v>8699000</v>
      </c>
      <c r="N49">
        <v>325.79999999999995</v>
      </c>
      <c r="O49">
        <v>13880.000000000002</v>
      </c>
      <c r="P49" s="72">
        <v>126400000</v>
      </c>
      <c r="Q49" s="72">
        <v>842600</v>
      </c>
      <c r="R49" s="72">
        <v>1312000</v>
      </c>
      <c r="S49">
        <v>66.5</v>
      </c>
      <c r="T49" s="32">
        <v>106.1</v>
      </c>
      <c r="U49" s="72">
        <v>5969000</v>
      </c>
      <c r="V49" s="72">
        <v>18290000000000</v>
      </c>
      <c r="W49" t="s">
        <v>369</v>
      </c>
      <c r="Y49" s="72"/>
      <c r="Z49" s="7" t="s">
        <v>416</v>
      </c>
      <c r="AA49" s="7">
        <v>355</v>
      </c>
      <c r="AB49" s="7">
        <v>490</v>
      </c>
      <c r="AC49" s="7">
        <v>335</v>
      </c>
      <c r="AD49" s="7">
        <v>490</v>
      </c>
      <c r="AE49" s="7" t="s">
        <v>439</v>
      </c>
      <c r="AF49" s="7" t="s">
        <v>438</v>
      </c>
      <c r="AG49" s="7"/>
    </row>
    <row r="50" spans="1:33" x14ac:dyDescent="0.25">
      <c r="A50" s="35" t="s">
        <v>282</v>
      </c>
      <c r="B50" s="36">
        <v>252</v>
      </c>
      <c r="C50" s="40">
        <v>890</v>
      </c>
      <c r="D50" s="37">
        <v>300</v>
      </c>
      <c r="E50" s="37">
        <v>16</v>
      </c>
      <c r="F50" s="37">
        <v>30</v>
      </c>
      <c r="G50" s="47">
        <v>30</v>
      </c>
      <c r="H50">
        <v>32050</v>
      </c>
      <c r="I50" s="32">
        <v>830</v>
      </c>
      <c r="J50" s="32">
        <v>770</v>
      </c>
      <c r="K50" s="72">
        <v>4221000000</v>
      </c>
      <c r="L50" s="72">
        <v>9484827.6999999993</v>
      </c>
      <c r="M50" s="72">
        <v>10810000</v>
      </c>
      <c r="N50">
        <v>362.9</v>
      </c>
      <c r="O50">
        <v>16330.000000000002</v>
      </c>
      <c r="P50" s="72">
        <v>135500000</v>
      </c>
      <c r="Q50" s="72">
        <v>903200</v>
      </c>
      <c r="R50" s="72">
        <v>1414000</v>
      </c>
      <c r="S50">
        <v>65</v>
      </c>
      <c r="T50" s="32">
        <v>111.1</v>
      </c>
      <c r="U50" s="72">
        <v>7368000</v>
      </c>
      <c r="V50" s="72">
        <v>24960000000000</v>
      </c>
      <c r="W50" t="s">
        <v>369</v>
      </c>
      <c r="Y50" s="72"/>
      <c r="Z50" s="7" t="s">
        <v>417</v>
      </c>
      <c r="AA50" s="7">
        <v>460</v>
      </c>
      <c r="AB50" s="7">
        <v>570</v>
      </c>
      <c r="AC50" s="7">
        <v>440</v>
      </c>
      <c r="AD50" s="7">
        <v>550</v>
      </c>
      <c r="AE50" s="7" t="s">
        <v>439</v>
      </c>
      <c r="AF50" s="7" t="s">
        <v>438</v>
      </c>
      <c r="AG50" s="7"/>
    </row>
    <row r="51" spans="1:33" x14ac:dyDescent="0.25">
      <c r="A51" s="35" t="s">
        <v>181</v>
      </c>
      <c r="B51" s="36" t="s">
        <v>117</v>
      </c>
      <c r="C51" s="40">
        <v>91</v>
      </c>
      <c r="D51" s="37">
        <v>100</v>
      </c>
      <c r="E51" s="38">
        <v>4.2</v>
      </c>
      <c r="F51" s="38">
        <v>5.5</v>
      </c>
      <c r="G51" s="39">
        <v>12</v>
      </c>
      <c r="H51">
        <v>1560</v>
      </c>
      <c r="I51" s="27">
        <v>80</v>
      </c>
      <c r="J51" s="27">
        <v>56</v>
      </c>
      <c r="K51" s="72">
        <v>2365000</v>
      </c>
      <c r="L51" s="72">
        <v>51980</v>
      </c>
      <c r="M51" s="72">
        <v>58360</v>
      </c>
      <c r="N51">
        <v>38.9</v>
      </c>
      <c r="O51">
        <v>615</v>
      </c>
      <c r="P51" s="72">
        <v>920600</v>
      </c>
      <c r="Q51" s="72">
        <v>18410</v>
      </c>
      <c r="R51" s="72">
        <v>28440</v>
      </c>
      <c r="S51">
        <v>24.3</v>
      </c>
      <c r="T51" s="34">
        <v>29.26</v>
      </c>
      <c r="U51" s="72">
        <v>25099.999999999996</v>
      </c>
      <c r="V51" s="72">
        <v>1680000000</v>
      </c>
      <c r="W51" t="s">
        <v>369</v>
      </c>
      <c r="Y51" s="72"/>
      <c r="Z51" s="7" t="s">
        <v>418</v>
      </c>
      <c r="AA51" s="7">
        <v>235</v>
      </c>
      <c r="AB51" s="7">
        <v>360</v>
      </c>
      <c r="AC51" s="7">
        <v>215</v>
      </c>
      <c r="AD51" s="7">
        <v>340</v>
      </c>
      <c r="AE51" s="7" t="s">
        <v>439</v>
      </c>
      <c r="AF51" s="7" t="s">
        <v>438</v>
      </c>
      <c r="AG51" s="7"/>
    </row>
    <row r="52" spans="1:33" x14ac:dyDescent="0.25">
      <c r="A52" s="35" t="s">
        <v>285</v>
      </c>
      <c r="B52" s="36">
        <v>222</v>
      </c>
      <c r="C52" s="40">
        <v>970</v>
      </c>
      <c r="D52" s="37">
        <v>300</v>
      </c>
      <c r="E52" s="37">
        <v>16</v>
      </c>
      <c r="F52" s="37">
        <v>21</v>
      </c>
      <c r="G52" s="47">
        <v>30</v>
      </c>
      <c r="H52">
        <v>28220</v>
      </c>
      <c r="I52" s="32">
        <v>928</v>
      </c>
      <c r="J52" s="32">
        <v>868</v>
      </c>
      <c r="K52" s="72">
        <v>4065000000</v>
      </c>
      <c r="L52" s="72">
        <v>8380000</v>
      </c>
      <c r="M52" s="72">
        <v>9777000</v>
      </c>
      <c r="N52">
        <v>379.5</v>
      </c>
      <c r="O52">
        <v>17220</v>
      </c>
      <c r="P52" s="72">
        <v>95010000</v>
      </c>
      <c r="Q52" s="72">
        <v>633400</v>
      </c>
      <c r="R52" s="72">
        <v>1016000</v>
      </c>
      <c r="S52">
        <v>58</v>
      </c>
      <c r="T52" s="32">
        <v>93.15</v>
      </c>
      <c r="U52" s="72">
        <v>4034000</v>
      </c>
      <c r="V52" s="72">
        <v>21280000000000</v>
      </c>
      <c r="W52" t="s">
        <v>369</v>
      </c>
      <c r="Y52" s="72"/>
      <c r="Z52" s="7" t="s">
        <v>419</v>
      </c>
      <c r="AA52" s="7">
        <v>275</v>
      </c>
      <c r="AB52" s="7">
        <v>430</v>
      </c>
      <c r="AC52" s="7">
        <v>255</v>
      </c>
      <c r="AD52" s="7">
        <v>410</v>
      </c>
      <c r="AE52" s="7" t="s">
        <v>439</v>
      </c>
      <c r="AF52" s="7" t="s">
        <v>438</v>
      </c>
      <c r="AG52" s="7"/>
    </row>
    <row r="53" spans="1:33" x14ac:dyDescent="0.25">
      <c r="A53" s="35" t="s">
        <v>186</v>
      </c>
      <c r="B53" s="36" t="s">
        <v>121</v>
      </c>
      <c r="C53" s="40">
        <v>109</v>
      </c>
      <c r="D53" s="37">
        <v>120</v>
      </c>
      <c r="E53" s="38">
        <v>4.2</v>
      </c>
      <c r="F53" s="38">
        <v>5.5</v>
      </c>
      <c r="G53" s="39">
        <v>12</v>
      </c>
      <c r="H53">
        <v>1860.0000000000002</v>
      </c>
      <c r="I53" s="27">
        <v>98</v>
      </c>
      <c r="J53" s="27">
        <v>74</v>
      </c>
      <c r="K53" s="72">
        <v>4134000</v>
      </c>
      <c r="L53" s="72">
        <v>75850</v>
      </c>
      <c r="M53" s="72">
        <v>84120</v>
      </c>
      <c r="N53">
        <v>47.199999999999996</v>
      </c>
      <c r="O53">
        <v>690</v>
      </c>
      <c r="P53" s="72">
        <v>1588000</v>
      </c>
      <c r="Q53" s="72">
        <v>26470</v>
      </c>
      <c r="R53" s="72">
        <v>40620</v>
      </c>
      <c r="S53">
        <v>29.3</v>
      </c>
      <c r="T53" s="34">
        <v>29.26</v>
      </c>
      <c r="U53" s="72">
        <v>27799.999999999996</v>
      </c>
      <c r="V53" s="72">
        <v>4240000000</v>
      </c>
      <c r="W53" t="s">
        <v>369</v>
      </c>
      <c r="Y53" s="72"/>
      <c r="Z53" s="7" t="s">
        <v>420</v>
      </c>
      <c r="AA53" s="7">
        <v>355</v>
      </c>
      <c r="AB53" s="7">
        <v>510</v>
      </c>
      <c r="AC53" s="7">
        <v>335</v>
      </c>
      <c r="AD53" s="7">
        <v>490</v>
      </c>
      <c r="AE53" s="7" t="s">
        <v>439</v>
      </c>
      <c r="AF53" s="7" t="s">
        <v>438</v>
      </c>
      <c r="AG53" s="7"/>
    </row>
    <row r="54" spans="1:33" x14ac:dyDescent="0.25">
      <c r="A54" s="35" t="s">
        <v>191</v>
      </c>
      <c r="B54" s="24" t="s">
        <v>125</v>
      </c>
      <c r="C54" s="40">
        <v>128</v>
      </c>
      <c r="D54" s="37">
        <v>140</v>
      </c>
      <c r="E54" s="38">
        <v>4.3</v>
      </c>
      <c r="F54" s="38">
        <v>6</v>
      </c>
      <c r="G54" s="39">
        <v>12</v>
      </c>
      <c r="H54">
        <v>2300</v>
      </c>
      <c r="I54" s="27">
        <v>116</v>
      </c>
      <c r="J54" s="27">
        <v>92</v>
      </c>
      <c r="K54" s="72">
        <v>7195000</v>
      </c>
      <c r="L54" s="72">
        <v>112400</v>
      </c>
      <c r="M54" s="72">
        <v>123800</v>
      </c>
      <c r="N54">
        <v>55.9</v>
      </c>
      <c r="O54">
        <v>792</v>
      </c>
      <c r="P54" s="72">
        <v>2748000</v>
      </c>
      <c r="Q54" s="72">
        <v>39260</v>
      </c>
      <c r="R54" s="72">
        <v>59930</v>
      </c>
      <c r="S54">
        <v>34.5</v>
      </c>
      <c r="T54" s="34">
        <v>30.36</v>
      </c>
      <c r="U54" s="72">
        <v>35400</v>
      </c>
      <c r="V54" s="72">
        <v>10210000000</v>
      </c>
      <c r="W54" t="s">
        <v>369</v>
      </c>
      <c r="Y54" s="72"/>
      <c r="Z54" s="7" t="s">
        <v>421</v>
      </c>
      <c r="AA54" s="7">
        <v>275</v>
      </c>
      <c r="AB54" s="7">
        <v>390</v>
      </c>
      <c r="AC54" s="7">
        <v>255</v>
      </c>
      <c r="AD54" s="7">
        <v>370</v>
      </c>
      <c r="AE54" s="7" t="s">
        <v>439</v>
      </c>
      <c r="AF54" s="7" t="s">
        <v>438</v>
      </c>
      <c r="AG54" s="7"/>
    </row>
    <row r="55" spans="1:33" x14ac:dyDescent="0.25">
      <c r="A55" s="35" t="s">
        <v>196</v>
      </c>
      <c r="B55" s="36" t="s">
        <v>129</v>
      </c>
      <c r="C55" s="40">
        <v>148</v>
      </c>
      <c r="D55" s="37">
        <v>160</v>
      </c>
      <c r="E55" s="38">
        <v>4.5</v>
      </c>
      <c r="F55" s="38">
        <v>7</v>
      </c>
      <c r="G55" s="39">
        <v>15</v>
      </c>
      <c r="H55">
        <v>3040</v>
      </c>
      <c r="I55" s="27">
        <v>134</v>
      </c>
      <c r="J55" s="27">
        <v>104</v>
      </c>
      <c r="K55" s="72">
        <v>12830000</v>
      </c>
      <c r="L55" s="72">
        <v>173400</v>
      </c>
      <c r="M55" s="72">
        <v>190400</v>
      </c>
      <c r="N55">
        <v>65</v>
      </c>
      <c r="O55">
        <v>1038</v>
      </c>
      <c r="P55" s="72">
        <v>4787000</v>
      </c>
      <c r="Q55" s="72">
        <v>59840</v>
      </c>
      <c r="R55" s="72">
        <v>91360</v>
      </c>
      <c r="S55">
        <v>39.700000000000003</v>
      </c>
      <c r="T55" s="34">
        <v>36.07</v>
      </c>
      <c r="U55" s="72">
        <v>63300</v>
      </c>
      <c r="V55" s="72">
        <v>23750000000</v>
      </c>
      <c r="W55" t="s">
        <v>369</v>
      </c>
      <c r="Y55" s="72"/>
      <c r="Z55" s="7" t="s">
        <v>422</v>
      </c>
      <c r="AA55" s="7">
        <v>355</v>
      </c>
      <c r="AB55" s="7">
        <v>490</v>
      </c>
      <c r="AC55" s="7">
        <v>335</v>
      </c>
      <c r="AD55" s="7">
        <v>470</v>
      </c>
      <c r="AE55" s="7" t="s">
        <v>439</v>
      </c>
      <c r="AF55" s="7" t="s">
        <v>438</v>
      </c>
      <c r="AG55" s="7"/>
    </row>
    <row r="56" spans="1:33" x14ac:dyDescent="0.25">
      <c r="A56" s="35" t="s">
        <v>201</v>
      </c>
      <c r="B56" s="36" t="s">
        <v>133</v>
      </c>
      <c r="C56" s="40">
        <v>167</v>
      </c>
      <c r="D56" s="37">
        <v>180</v>
      </c>
      <c r="E56" s="38">
        <v>5</v>
      </c>
      <c r="F56" s="38">
        <v>7.5</v>
      </c>
      <c r="G56" s="39">
        <v>15</v>
      </c>
      <c r="H56">
        <v>3650</v>
      </c>
      <c r="I56" s="27">
        <v>152</v>
      </c>
      <c r="J56" s="27">
        <v>122</v>
      </c>
      <c r="K56" s="72">
        <v>19670000</v>
      </c>
      <c r="L56" s="72">
        <v>235600</v>
      </c>
      <c r="M56" s="72">
        <v>258200</v>
      </c>
      <c r="N56">
        <v>73.400000000000006</v>
      </c>
      <c r="O56">
        <v>1216</v>
      </c>
      <c r="P56" s="72">
        <v>7300000</v>
      </c>
      <c r="Q56" s="72">
        <v>81110</v>
      </c>
      <c r="R56" s="72">
        <v>123600</v>
      </c>
      <c r="S56">
        <v>44.699999999999996</v>
      </c>
      <c r="T56" s="34">
        <v>37.57</v>
      </c>
      <c r="U56" s="72">
        <v>83300</v>
      </c>
      <c r="V56" s="72">
        <v>46360000000</v>
      </c>
      <c r="W56" t="s">
        <v>369</v>
      </c>
      <c r="Y56" s="72"/>
      <c r="Z56" s="7" t="s">
        <v>423</v>
      </c>
      <c r="AA56" s="7">
        <v>420</v>
      </c>
      <c r="AB56" s="7">
        <v>540</v>
      </c>
      <c r="AC56" s="7">
        <v>390</v>
      </c>
      <c r="AD56" s="7">
        <v>520</v>
      </c>
      <c r="AE56" s="7" t="s">
        <v>439</v>
      </c>
      <c r="AF56" s="7" t="s">
        <v>438</v>
      </c>
      <c r="AG56" s="7"/>
    </row>
    <row r="57" spans="1:33" x14ac:dyDescent="0.25">
      <c r="A57" s="35" t="s">
        <v>206</v>
      </c>
      <c r="B57" s="36" t="s">
        <v>137</v>
      </c>
      <c r="C57" s="40">
        <v>186</v>
      </c>
      <c r="D57" s="37">
        <v>200</v>
      </c>
      <c r="E57" s="38">
        <v>5.5</v>
      </c>
      <c r="F57" s="38">
        <v>8</v>
      </c>
      <c r="G57" s="39">
        <v>18</v>
      </c>
      <c r="H57">
        <v>4410</v>
      </c>
      <c r="I57" s="27">
        <v>170</v>
      </c>
      <c r="J57" s="27">
        <v>134</v>
      </c>
      <c r="K57" s="72">
        <v>29440000</v>
      </c>
      <c r="L57" s="72">
        <v>316600</v>
      </c>
      <c r="M57" s="72">
        <v>347100</v>
      </c>
      <c r="N57">
        <v>81.7</v>
      </c>
      <c r="O57">
        <v>1545</v>
      </c>
      <c r="P57" s="72">
        <v>10680000</v>
      </c>
      <c r="Q57" s="72">
        <v>106800</v>
      </c>
      <c r="R57" s="72">
        <v>163200</v>
      </c>
      <c r="S57">
        <v>49.2</v>
      </c>
      <c r="T57" s="34">
        <v>42.59</v>
      </c>
      <c r="U57" s="72">
        <v>126900</v>
      </c>
      <c r="V57" s="72">
        <v>84490000000</v>
      </c>
      <c r="W57" t="s">
        <v>369</v>
      </c>
      <c r="Y57" s="72"/>
      <c r="Z57" s="7" t="s">
        <v>424</v>
      </c>
      <c r="AA57" s="7">
        <v>460</v>
      </c>
      <c r="AB57" s="7">
        <v>560</v>
      </c>
      <c r="AC57" s="7">
        <v>430</v>
      </c>
      <c r="AD57" s="7">
        <v>550</v>
      </c>
      <c r="AE57" s="7" t="s">
        <v>439</v>
      </c>
      <c r="AF57" s="7" t="s">
        <v>438</v>
      </c>
      <c r="AG57" s="7"/>
    </row>
    <row r="58" spans="1:33" x14ac:dyDescent="0.25">
      <c r="A58" s="35" t="s">
        <v>211</v>
      </c>
      <c r="B58" s="46" t="s">
        <v>140</v>
      </c>
      <c r="C58" s="37">
        <v>205</v>
      </c>
      <c r="D58" s="37">
        <v>220</v>
      </c>
      <c r="E58" s="38">
        <v>6</v>
      </c>
      <c r="F58" s="38">
        <v>8.5</v>
      </c>
      <c r="G58" s="38">
        <v>18</v>
      </c>
      <c r="H58">
        <v>5150</v>
      </c>
      <c r="I58" s="38">
        <v>188</v>
      </c>
      <c r="J58" s="38">
        <v>152</v>
      </c>
      <c r="K58" s="72">
        <v>41700000</v>
      </c>
      <c r="L58" s="72">
        <v>406900</v>
      </c>
      <c r="M58" s="72">
        <v>445500</v>
      </c>
      <c r="N58">
        <v>90</v>
      </c>
      <c r="O58">
        <v>1763</v>
      </c>
      <c r="P58" s="72">
        <v>15100000</v>
      </c>
      <c r="Q58" s="72">
        <v>137300</v>
      </c>
      <c r="R58" s="72">
        <v>209300</v>
      </c>
      <c r="S58">
        <v>54.2</v>
      </c>
      <c r="T58" s="49">
        <v>44.09</v>
      </c>
      <c r="U58" s="72">
        <v>159300</v>
      </c>
      <c r="V58" s="72">
        <v>145600000000</v>
      </c>
      <c r="W58" t="s">
        <v>369</v>
      </c>
      <c r="Y58" s="72"/>
      <c r="Z58" s="7" t="s">
        <v>418</v>
      </c>
      <c r="AA58" s="7">
        <v>235</v>
      </c>
      <c r="AB58" s="7">
        <v>360</v>
      </c>
      <c r="AC58" s="7" t="s">
        <v>368</v>
      </c>
      <c r="AD58" s="7" t="s">
        <v>368</v>
      </c>
      <c r="AE58" s="7" t="s">
        <v>439</v>
      </c>
      <c r="AF58" s="7" t="s">
        <v>438</v>
      </c>
      <c r="AG58" s="7"/>
    </row>
    <row r="59" spans="1:33" x14ac:dyDescent="0.25">
      <c r="A59" s="35" t="s">
        <v>216</v>
      </c>
      <c r="B59" s="46" t="s">
        <v>143</v>
      </c>
      <c r="C59" s="37">
        <v>224</v>
      </c>
      <c r="D59" s="37">
        <v>240</v>
      </c>
      <c r="E59" s="38">
        <v>6.5</v>
      </c>
      <c r="F59" s="38">
        <v>9</v>
      </c>
      <c r="G59" s="38">
        <v>21</v>
      </c>
      <c r="H59">
        <v>6040</v>
      </c>
      <c r="I59" s="38">
        <v>206</v>
      </c>
      <c r="J59" s="38">
        <v>164</v>
      </c>
      <c r="K59" s="72">
        <v>58350000</v>
      </c>
      <c r="L59" s="72">
        <v>521000</v>
      </c>
      <c r="M59" s="72">
        <v>570600</v>
      </c>
      <c r="N59">
        <v>98.3</v>
      </c>
      <c r="O59">
        <v>2154</v>
      </c>
      <c r="P59" s="72">
        <v>20770000</v>
      </c>
      <c r="Q59" s="72">
        <v>173100</v>
      </c>
      <c r="R59" s="72">
        <v>264400</v>
      </c>
      <c r="S59">
        <v>58.7</v>
      </c>
      <c r="T59" s="50">
        <v>49.1</v>
      </c>
      <c r="U59" s="72">
        <v>229800</v>
      </c>
      <c r="V59" s="72">
        <v>239600000000</v>
      </c>
      <c r="W59" t="s">
        <v>369</v>
      </c>
      <c r="Y59" s="72"/>
      <c r="Z59" s="7" t="s">
        <v>425</v>
      </c>
      <c r="AA59" s="7">
        <v>275</v>
      </c>
      <c r="AB59" s="7">
        <v>430</v>
      </c>
      <c r="AC59" s="7" t="s">
        <v>368</v>
      </c>
      <c r="AD59" s="7" t="s">
        <v>368</v>
      </c>
      <c r="AE59" s="7" t="s">
        <v>439</v>
      </c>
      <c r="AF59" s="7" t="s">
        <v>438</v>
      </c>
      <c r="AG59" s="7"/>
    </row>
    <row r="60" spans="1:33" x14ac:dyDescent="0.25">
      <c r="A60" s="35" t="s">
        <v>221</v>
      </c>
      <c r="B60" s="46" t="s">
        <v>146</v>
      </c>
      <c r="C60" s="37">
        <v>244</v>
      </c>
      <c r="D60" s="37">
        <v>260</v>
      </c>
      <c r="E60" s="38">
        <v>6.5</v>
      </c>
      <c r="F60" s="38">
        <v>9.5</v>
      </c>
      <c r="G60" s="38">
        <v>24</v>
      </c>
      <c r="H60">
        <v>6900</v>
      </c>
      <c r="I60" s="38">
        <v>225</v>
      </c>
      <c r="J60" s="38">
        <v>177</v>
      </c>
      <c r="K60" s="72">
        <v>79810000</v>
      </c>
      <c r="L60" s="72">
        <v>654100</v>
      </c>
      <c r="M60" s="72">
        <v>714500</v>
      </c>
      <c r="N60">
        <v>107.6</v>
      </c>
      <c r="O60">
        <v>2475</v>
      </c>
      <c r="P60" s="72">
        <v>27880000</v>
      </c>
      <c r="Q60" s="72">
        <v>214500</v>
      </c>
      <c r="R60" s="72">
        <v>327700</v>
      </c>
      <c r="S60">
        <v>63.6</v>
      </c>
      <c r="T60" s="50">
        <v>53.62</v>
      </c>
      <c r="U60" s="72">
        <v>303100</v>
      </c>
      <c r="V60" s="72">
        <v>382600000000</v>
      </c>
      <c r="W60" t="s">
        <v>369</v>
      </c>
      <c r="Y60" s="72"/>
      <c r="Z60" s="7" t="s">
        <v>420</v>
      </c>
      <c r="AA60" s="7">
        <v>355</v>
      </c>
      <c r="AB60" s="7">
        <v>510</v>
      </c>
      <c r="AC60" s="7" t="s">
        <v>368</v>
      </c>
      <c r="AD60" s="7" t="s">
        <v>368</v>
      </c>
      <c r="AE60" s="7" t="s">
        <v>439</v>
      </c>
      <c r="AF60" s="7" t="s">
        <v>438</v>
      </c>
      <c r="AG60" s="7"/>
    </row>
    <row r="61" spans="1:33" x14ac:dyDescent="0.25">
      <c r="A61" s="35" t="s">
        <v>226</v>
      </c>
      <c r="B61" s="46" t="s">
        <v>148</v>
      </c>
      <c r="C61" s="37">
        <v>264</v>
      </c>
      <c r="D61" s="37">
        <v>280</v>
      </c>
      <c r="E61" s="37">
        <v>7</v>
      </c>
      <c r="F61" s="37">
        <v>10</v>
      </c>
      <c r="G61" s="37">
        <v>24</v>
      </c>
      <c r="H61">
        <v>7800</v>
      </c>
      <c r="I61" s="37">
        <v>244</v>
      </c>
      <c r="J61" s="37">
        <v>196</v>
      </c>
      <c r="K61" s="72">
        <v>105600000</v>
      </c>
      <c r="L61" s="72">
        <v>799800</v>
      </c>
      <c r="M61" s="72">
        <v>873100</v>
      </c>
      <c r="N61">
        <v>116.30000000000001</v>
      </c>
      <c r="O61">
        <v>2752</v>
      </c>
      <c r="P61" s="72">
        <v>36640000</v>
      </c>
      <c r="Q61" s="72">
        <v>261700</v>
      </c>
      <c r="R61" s="72">
        <v>399400</v>
      </c>
      <c r="S61">
        <v>68.5</v>
      </c>
      <c r="T61" s="68">
        <v>55.12</v>
      </c>
      <c r="U61" s="72">
        <v>362200</v>
      </c>
      <c r="V61" s="72">
        <v>590100000000</v>
      </c>
      <c r="W61" t="s">
        <v>369</v>
      </c>
      <c r="Y61" s="72"/>
      <c r="Z61" s="7" t="s">
        <v>421</v>
      </c>
      <c r="AA61" s="7">
        <v>275</v>
      </c>
      <c r="AB61" s="7">
        <v>370</v>
      </c>
      <c r="AC61" s="7" t="s">
        <v>368</v>
      </c>
      <c r="AD61" s="7" t="s">
        <v>368</v>
      </c>
      <c r="AE61" s="7" t="s">
        <v>439</v>
      </c>
      <c r="AF61" s="7" t="s">
        <v>438</v>
      </c>
      <c r="AG61" s="7"/>
    </row>
    <row r="62" spans="1:33" x14ac:dyDescent="0.25">
      <c r="A62" s="35" t="s">
        <v>231</v>
      </c>
      <c r="B62" s="46" t="s">
        <v>150</v>
      </c>
      <c r="C62" s="37">
        <v>283</v>
      </c>
      <c r="D62" s="37">
        <v>300</v>
      </c>
      <c r="E62" s="37">
        <v>7.5</v>
      </c>
      <c r="F62" s="37">
        <v>10.5</v>
      </c>
      <c r="G62" s="37">
        <v>27</v>
      </c>
      <c r="H62">
        <v>8890</v>
      </c>
      <c r="I62" s="37">
        <v>262</v>
      </c>
      <c r="J62" s="37">
        <v>208</v>
      </c>
      <c r="K62" s="72">
        <v>138000000</v>
      </c>
      <c r="L62" s="72">
        <v>975552.02</v>
      </c>
      <c r="M62" s="72">
        <v>1065000</v>
      </c>
      <c r="N62">
        <v>124.60000000000001</v>
      </c>
      <c r="O62">
        <v>3236.9999999999995</v>
      </c>
      <c r="P62" s="72">
        <v>47340000</v>
      </c>
      <c r="Q62" s="72">
        <v>315600</v>
      </c>
      <c r="R62" s="72">
        <v>482300</v>
      </c>
      <c r="S62">
        <v>73</v>
      </c>
      <c r="T62" s="68">
        <v>60.13</v>
      </c>
      <c r="U62" s="72">
        <v>493500</v>
      </c>
      <c r="V62" s="72">
        <v>877200000000</v>
      </c>
      <c r="W62" t="s">
        <v>369</v>
      </c>
      <c r="Y62" s="72"/>
      <c r="Z62" s="7" t="s">
        <v>422</v>
      </c>
      <c r="AA62" s="7">
        <v>355</v>
      </c>
      <c r="AB62" s="7">
        <v>470</v>
      </c>
      <c r="AC62" s="7" t="s">
        <v>368</v>
      </c>
      <c r="AD62" s="7" t="s">
        <v>368</v>
      </c>
      <c r="AE62" s="7" t="s">
        <v>439</v>
      </c>
      <c r="AF62" s="7" t="s">
        <v>438</v>
      </c>
      <c r="AG62" s="7"/>
    </row>
    <row r="63" spans="1:33" x14ac:dyDescent="0.25">
      <c r="A63" s="35" t="s">
        <v>236</v>
      </c>
      <c r="B63" s="46" t="s">
        <v>152</v>
      </c>
      <c r="C63" s="37">
        <v>301</v>
      </c>
      <c r="D63" s="37">
        <v>300</v>
      </c>
      <c r="E63" s="37">
        <v>8</v>
      </c>
      <c r="F63" s="37">
        <v>11</v>
      </c>
      <c r="G63" s="37">
        <v>27</v>
      </c>
      <c r="H63">
        <v>9460</v>
      </c>
      <c r="I63" s="37">
        <v>279</v>
      </c>
      <c r="J63" s="37">
        <v>225</v>
      </c>
      <c r="K63" s="72">
        <v>164500000</v>
      </c>
      <c r="L63" s="72">
        <v>1092845.8500000001</v>
      </c>
      <c r="M63" s="72">
        <v>1196000</v>
      </c>
      <c r="N63">
        <v>131.9</v>
      </c>
      <c r="O63">
        <v>3540</v>
      </c>
      <c r="P63" s="72">
        <v>49590000</v>
      </c>
      <c r="Q63" s="72">
        <v>330600</v>
      </c>
      <c r="R63" s="72">
        <v>505700</v>
      </c>
      <c r="S63">
        <v>72.400000000000006</v>
      </c>
      <c r="T63" s="68">
        <v>61.63</v>
      </c>
      <c r="U63" s="72">
        <v>558700</v>
      </c>
      <c r="V63" s="72">
        <v>1041000000000</v>
      </c>
      <c r="W63" t="s">
        <v>369</v>
      </c>
      <c r="Y63" s="72"/>
      <c r="Z63" s="7" t="s">
        <v>424</v>
      </c>
      <c r="AA63" s="7">
        <v>460</v>
      </c>
      <c r="AB63" s="7">
        <v>550</v>
      </c>
      <c r="AC63" s="7" t="s">
        <v>368</v>
      </c>
      <c r="AD63" s="7" t="s">
        <v>368</v>
      </c>
      <c r="AE63" s="7" t="s">
        <v>439</v>
      </c>
      <c r="AF63" s="7" t="s">
        <v>438</v>
      </c>
      <c r="AG63" s="7"/>
    </row>
    <row r="64" spans="1:33" x14ac:dyDescent="0.25">
      <c r="A64" s="35" t="s">
        <v>241</v>
      </c>
      <c r="B64" s="46" t="s">
        <v>154</v>
      </c>
      <c r="C64" s="37">
        <v>320</v>
      </c>
      <c r="D64" s="37">
        <v>300</v>
      </c>
      <c r="E64" s="37">
        <v>8.5</v>
      </c>
      <c r="F64" s="37">
        <v>11.5</v>
      </c>
      <c r="G64" s="37">
        <v>27</v>
      </c>
      <c r="H64">
        <v>10050</v>
      </c>
      <c r="I64" s="37">
        <v>297</v>
      </c>
      <c r="J64" s="37">
        <v>243</v>
      </c>
      <c r="K64" s="72">
        <v>195500000</v>
      </c>
      <c r="L64" s="72">
        <v>1222015.82</v>
      </c>
      <c r="M64" s="72">
        <v>1341000</v>
      </c>
      <c r="N64">
        <v>139.5</v>
      </c>
      <c r="O64">
        <v>3869</v>
      </c>
      <c r="P64" s="72">
        <v>51850000</v>
      </c>
      <c r="Q64" s="72">
        <v>345600</v>
      </c>
      <c r="R64" s="72">
        <v>529300</v>
      </c>
      <c r="S64">
        <v>71.8</v>
      </c>
      <c r="T64" s="68">
        <v>63.13</v>
      </c>
      <c r="U64" s="72">
        <v>630700</v>
      </c>
      <c r="V64" s="72">
        <v>1231000000000</v>
      </c>
      <c r="W64" t="s">
        <v>369</v>
      </c>
      <c r="Y64" s="72"/>
      <c r="Z64" s="7" t="s">
        <v>426</v>
      </c>
      <c r="AA64" s="7">
        <v>275</v>
      </c>
      <c r="AB64" s="7">
        <v>360</v>
      </c>
      <c r="AC64" s="7" t="s">
        <v>368</v>
      </c>
      <c r="AD64" s="7" t="s">
        <v>368</v>
      </c>
      <c r="AE64" s="7" t="s">
        <v>439</v>
      </c>
      <c r="AF64" s="7" t="s">
        <v>438</v>
      </c>
      <c r="AG64" s="7"/>
    </row>
    <row r="65" spans="1:39" x14ac:dyDescent="0.25">
      <c r="A65" s="64" t="s">
        <v>245</v>
      </c>
      <c r="B65" s="63" t="s">
        <v>155</v>
      </c>
      <c r="C65" s="61">
        <v>339</v>
      </c>
      <c r="D65" s="61">
        <v>300</v>
      </c>
      <c r="E65" s="61">
        <v>9</v>
      </c>
      <c r="F65" s="61">
        <v>12</v>
      </c>
      <c r="G65" s="61">
        <v>27</v>
      </c>
      <c r="H65">
        <v>10660</v>
      </c>
      <c r="I65" s="61">
        <v>315</v>
      </c>
      <c r="J65" s="61">
        <v>261</v>
      </c>
      <c r="K65" s="72">
        <v>230400000</v>
      </c>
      <c r="L65" s="72">
        <v>1359134.71</v>
      </c>
      <c r="M65" s="72">
        <v>1495000</v>
      </c>
      <c r="N65">
        <v>147</v>
      </c>
      <c r="O65">
        <v>4217</v>
      </c>
      <c r="P65" s="72">
        <v>54100000</v>
      </c>
      <c r="Q65" s="72">
        <v>360700</v>
      </c>
      <c r="R65" s="72">
        <v>553000</v>
      </c>
      <c r="S65">
        <v>71.2</v>
      </c>
      <c r="T65" s="70">
        <v>64.63</v>
      </c>
      <c r="U65" s="72">
        <v>709900</v>
      </c>
      <c r="V65" s="72">
        <v>1444000000000</v>
      </c>
      <c r="W65" t="s">
        <v>369</v>
      </c>
      <c r="Y65" s="72"/>
      <c r="Z65" s="7" t="s">
        <v>427</v>
      </c>
      <c r="AA65" s="7">
        <v>355</v>
      </c>
      <c r="AB65" s="7">
        <v>470</v>
      </c>
      <c r="AC65" s="7" t="s">
        <v>368</v>
      </c>
      <c r="AD65" s="7" t="s">
        <v>368</v>
      </c>
      <c r="AE65" s="7" t="s">
        <v>439</v>
      </c>
      <c r="AF65" s="7" t="s">
        <v>438</v>
      </c>
      <c r="AG65" s="7"/>
    </row>
    <row r="66" spans="1:39" x14ac:dyDescent="0.25">
      <c r="A66" s="35" t="s">
        <v>249</v>
      </c>
      <c r="B66" s="46" t="s">
        <v>156</v>
      </c>
      <c r="C66" s="37">
        <v>378</v>
      </c>
      <c r="D66" s="37">
        <v>300</v>
      </c>
      <c r="E66" s="37">
        <v>9.5</v>
      </c>
      <c r="F66" s="37">
        <v>13</v>
      </c>
      <c r="G66" s="37">
        <v>27</v>
      </c>
      <c r="H66">
        <v>11770</v>
      </c>
      <c r="I66" s="37">
        <v>352</v>
      </c>
      <c r="J66" s="37">
        <v>298</v>
      </c>
      <c r="K66" s="72">
        <v>312500000</v>
      </c>
      <c r="L66" s="72">
        <v>1654000</v>
      </c>
      <c r="M66" s="72">
        <v>1824000</v>
      </c>
      <c r="N66">
        <v>163</v>
      </c>
      <c r="O66">
        <v>4795</v>
      </c>
      <c r="P66" s="72">
        <v>58610000</v>
      </c>
      <c r="Q66" s="72">
        <v>390800</v>
      </c>
      <c r="R66" s="72">
        <v>599700</v>
      </c>
      <c r="S66">
        <v>70.599999999999994</v>
      </c>
      <c r="T66" s="68">
        <v>67.13</v>
      </c>
      <c r="U66" s="72">
        <v>846900</v>
      </c>
      <c r="V66" s="72">
        <v>1948000000000</v>
      </c>
      <c r="W66" t="s">
        <v>369</v>
      </c>
      <c r="Y66" s="72"/>
      <c r="Z66" s="7" t="s">
        <v>428</v>
      </c>
      <c r="AA66" s="7">
        <v>420</v>
      </c>
      <c r="AB66" s="7">
        <v>500</v>
      </c>
      <c r="AC66" s="7" t="s">
        <v>368</v>
      </c>
      <c r="AD66" s="7" t="s">
        <v>368</v>
      </c>
      <c r="AE66" s="7" t="s">
        <v>439</v>
      </c>
      <c r="AF66" s="7" t="s">
        <v>438</v>
      </c>
      <c r="AG66" s="7"/>
    </row>
    <row r="67" spans="1:39" x14ac:dyDescent="0.25">
      <c r="A67" s="35" t="s">
        <v>253</v>
      </c>
      <c r="B67" s="46" t="s">
        <v>157</v>
      </c>
      <c r="C67" s="37">
        <v>425</v>
      </c>
      <c r="D67" s="37">
        <v>300</v>
      </c>
      <c r="E67" s="37">
        <v>10</v>
      </c>
      <c r="F67" s="37">
        <v>13.5</v>
      </c>
      <c r="G67" s="37">
        <v>27</v>
      </c>
      <c r="H67">
        <v>12710</v>
      </c>
      <c r="I67" s="37">
        <v>398</v>
      </c>
      <c r="J67" s="37">
        <v>344</v>
      </c>
      <c r="K67" s="72">
        <v>418900000</v>
      </c>
      <c r="L67" s="72">
        <v>1971180.49</v>
      </c>
      <c r="M67" s="72">
        <v>2183000</v>
      </c>
      <c r="N67">
        <v>181.6</v>
      </c>
      <c r="O67">
        <v>5470</v>
      </c>
      <c r="P67" s="72">
        <v>60880000</v>
      </c>
      <c r="Q67" s="72">
        <v>405800</v>
      </c>
      <c r="R67" s="72">
        <v>624400</v>
      </c>
      <c r="S67">
        <v>69.2</v>
      </c>
      <c r="T67" s="68">
        <v>68.63</v>
      </c>
      <c r="U67" s="72">
        <v>956100</v>
      </c>
      <c r="V67" s="72">
        <v>2572000000000</v>
      </c>
      <c r="W67" t="s">
        <v>369</v>
      </c>
      <c r="Y67" s="72"/>
      <c r="Z67" s="7" t="s">
        <v>429</v>
      </c>
      <c r="AA67" s="7">
        <v>460</v>
      </c>
      <c r="AB67" s="7">
        <v>530</v>
      </c>
      <c r="AC67" s="7" t="s">
        <v>368</v>
      </c>
      <c r="AD67" s="7" t="s">
        <v>368</v>
      </c>
      <c r="AE67" s="7" t="s">
        <v>439</v>
      </c>
      <c r="AF67" s="7" t="s">
        <v>438</v>
      </c>
      <c r="AG67" s="7"/>
    </row>
    <row r="68" spans="1:39" x14ac:dyDescent="0.25">
      <c r="A68" s="35" t="s">
        <v>257</v>
      </c>
      <c r="B68" s="46">
        <v>107</v>
      </c>
      <c r="C68" s="37">
        <v>472</v>
      </c>
      <c r="D68" s="37">
        <v>300</v>
      </c>
      <c r="E68" s="37">
        <v>10.5</v>
      </c>
      <c r="F68" s="37">
        <v>14</v>
      </c>
      <c r="G68" s="37">
        <v>27</v>
      </c>
      <c r="H68">
        <v>13690</v>
      </c>
      <c r="I68" s="37">
        <v>444</v>
      </c>
      <c r="J68" s="37">
        <v>390</v>
      </c>
      <c r="K68" s="72">
        <v>546400000</v>
      </c>
      <c r="L68" s="72">
        <v>2315391.4300000002</v>
      </c>
      <c r="M68" s="72">
        <v>2576000</v>
      </c>
      <c r="N68">
        <v>199.8</v>
      </c>
      <c r="O68">
        <v>6191</v>
      </c>
      <c r="P68" s="72">
        <v>63140000</v>
      </c>
      <c r="Q68" s="72">
        <v>420900</v>
      </c>
      <c r="R68" s="72">
        <v>649300</v>
      </c>
      <c r="S68">
        <v>67.900000000000006</v>
      </c>
      <c r="T68" s="70">
        <v>70.13</v>
      </c>
      <c r="U68" s="72">
        <v>1077000</v>
      </c>
      <c r="V68" s="72">
        <v>3304000000000</v>
      </c>
      <c r="W68" t="s">
        <v>369</v>
      </c>
      <c r="Y68" s="72"/>
    </row>
    <row r="69" spans="1:39" x14ac:dyDescent="0.25">
      <c r="A69" s="35" t="s">
        <v>261</v>
      </c>
      <c r="B69" s="46">
        <v>120</v>
      </c>
      <c r="C69" s="37">
        <v>522</v>
      </c>
      <c r="D69" s="37">
        <v>300</v>
      </c>
      <c r="E69" s="37">
        <v>11.5</v>
      </c>
      <c r="F69" s="37">
        <v>15</v>
      </c>
      <c r="G69" s="37">
        <v>27</v>
      </c>
      <c r="H69">
        <v>15280.000000000002</v>
      </c>
      <c r="I69" s="37">
        <v>492</v>
      </c>
      <c r="J69" s="37">
        <v>438</v>
      </c>
      <c r="K69" s="72">
        <v>728700000</v>
      </c>
      <c r="L69" s="72">
        <v>2792004.32</v>
      </c>
      <c r="M69" s="72">
        <v>3128000</v>
      </c>
      <c r="N69">
        <v>218.4</v>
      </c>
      <c r="O69">
        <v>7266</v>
      </c>
      <c r="P69" s="72">
        <v>67670000</v>
      </c>
      <c r="Q69" s="72">
        <v>451100</v>
      </c>
      <c r="R69" s="72">
        <v>698600</v>
      </c>
      <c r="S69">
        <v>66.5</v>
      </c>
      <c r="T69" s="68">
        <v>73.13</v>
      </c>
      <c r="U69" s="72">
        <v>1337000</v>
      </c>
      <c r="V69" s="72">
        <v>4338000000000</v>
      </c>
      <c r="W69" t="s">
        <v>369</v>
      </c>
      <c r="Y69" s="72"/>
    </row>
    <row r="70" spans="1:39" x14ac:dyDescent="0.25">
      <c r="A70" s="64" t="s">
        <v>265</v>
      </c>
      <c r="B70" s="65">
        <v>129</v>
      </c>
      <c r="C70" s="61">
        <v>571</v>
      </c>
      <c r="D70" s="61">
        <v>300</v>
      </c>
      <c r="E70" s="61">
        <v>12</v>
      </c>
      <c r="F70" s="61">
        <v>15.5</v>
      </c>
      <c r="G70" s="61">
        <v>27</v>
      </c>
      <c r="H70">
        <v>16410</v>
      </c>
      <c r="I70" s="61">
        <v>540</v>
      </c>
      <c r="J70" s="61">
        <v>486</v>
      </c>
      <c r="K70" s="72">
        <v>919000000</v>
      </c>
      <c r="L70" s="72">
        <v>3218000</v>
      </c>
      <c r="M70" s="72">
        <v>3623000</v>
      </c>
      <c r="N70">
        <v>236.6</v>
      </c>
      <c r="O70">
        <v>8129.0000000000009</v>
      </c>
      <c r="P70" s="72">
        <v>69930000</v>
      </c>
      <c r="Q70" s="72">
        <v>466200</v>
      </c>
      <c r="R70" s="72">
        <v>724500</v>
      </c>
      <c r="S70">
        <v>65.3</v>
      </c>
      <c r="T70" s="70">
        <v>74.63</v>
      </c>
      <c r="U70" s="72">
        <v>1498000</v>
      </c>
      <c r="V70" s="72">
        <v>5381000000000</v>
      </c>
      <c r="W70" t="s">
        <v>369</v>
      </c>
      <c r="Y70" s="72"/>
    </row>
    <row r="71" spans="1:39" x14ac:dyDescent="0.25">
      <c r="A71" s="23" t="s">
        <v>269</v>
      </c>
      <c r="B71" s="36">
        <v>138</v>
      </c>
      <c r="C71" s="32">
        <v>620</v>
      </c>
      <c r="D71" s="32">
        <v>300</v>
      </c>
      <c r="E71" s="32">
        <v>12.5</v>
      </c>
      <c r="F71" s="32">
        <v>16</v>
      </c>
      <c r="G71" s="33">
        <v>27</v>
      </c>
      <c r="H71">
        <v>17580</v>
      </c>
      <c r="I71" s="32">
        <v>588</v>
      </c>
      <c r="J71" s="32">
        <v>534</v>
      </c>
      <c r="K71" s="72">
        <v>1139000000</v>
      </c>
      <c r="L71" s="72">
        <v>3676000</v>
      </c>
      <c r="M71" s="72">
        <v>4160000</v>
      </c>
      <c r="N71">
        <v>254.60000000000002</v>
      </c>
      <c r="O71">
        <v>9040</v>
      </c>
      <c r="P71" s="72">
        <v>72210000</v>
      </c>
      <c r="Q71" s="72">
        <v>481400</v>
      </c>
      <c r="R71" s="72">
        <v>750700</v>
      </c>
      <c r="S71">
        <v>64.099999999999994</v>
      </c>
      <c r="T71" s="32">
        <v>76.13</v>
      </c>
      <c r="U71" s="72">
        <v>1675000</v>
      </c>
      <c r="V71" s="72">
        <v>6567000000000</v>
      </c>
      <c r="W71" t="s">
        <v>369</v>
      </c>
      <c r="Y71" s="72"/>
    </row>
    <row r="72" spans="1:39" x14ac:dyDescent="0.25">
      <c r="A72" s="23" t="s">
        <v>273</v>
      </c>
      <c r="B72" s="36">
        <v>150</v>
      </c>
      <c r="C72" s="32">
        <v>670</v>
      </c>
      <c r="D72" s="32">
        <v>300</v>
      </c>
      <c r="E72" s="32">
        <v>13</v>
      </c>
      <c r="F72" s="32">
        <v>17</v>
      </c>
      <c r="G72" s="33">
        <v>27</v>
      </c>
      <c r="H72">
        <v>19090</v>
      </c>
      <c r="I72" s="32">
        <v>636</v>
      </c>
      <c r="J72" s="32">
        <v>582</v>
      </c>
      <c r="K72" s="72">
        <v>1427000000</v>
      </c>
      <c r="L72" s="72">
        <v>4260000</v>
      </c>
      <c r="M72" s="72">
        <v>4840000</v>
      </c>
      <c r="N72">
        <v>273.39999999999998</v>
      </c>
      <c r="O72">
        <v>10030</v>
      </c>
      <c r="P72" s="72">
        <v>76730000</v>
      </c>
      <c r="Q72" s="72">
        <v>511500</v>
      </c>
      <c r="R72" s="72">
        <v>799700</v>
      </c>
      <c r="S72">
        <v>63.4</v>
      </c>
      <c r="T72" s="32">
        <v>78.63</v>
      </c>
      <c r="U72" s="72">
        <v>1952000</v>
      </c>
      <c r="V72" s="72">
        <v>8155000000000</v>
      </c>
      <c r="W72" t="s">
        <v>369</v>
      </c>
      <c r="Y72" s="72"/>
      <c r="Z72" s="71" t="s">
        <v>503</v>
      </c>
      <c r="AA72" s="71"/>
      <c r="AB72" s="71"/>
      <c r="AC72" s="71"/>
      <c r="AD72" s="71"/>
      <c r="AE72" s="71"/>
      <c r="AF72" s="71"/>
      <c r="AG72" s="71"/>
      <c r="AH72" s="71"/>
      <c r="AI72" s="71"/>
      <c r="AJ72" s="71"/>
      <c r="AK72" s="71"/>
      <c r="AL72" s="71"/>
      <c r="AM72" s="71"/>
    </row>
    <row r="73" spans="1:39" x14ac:dyDescent="0.25">
      <c r="A73" s="23" t="s">
        <v>277</v>
      </c>
      <c r="B73" s="36">
        <v>172</v>
      </c>
      <c r="C73" s="32">
        <v>770</v>
      </c>
      <c r="D73" s="32">
        <v>300</v>
      </c>
      <c r="E73" s="32">
        <v>14</v>
      </c>
      <c r="F73" s="32">
        <v>18</v>
      </c>
      <c r="G73" s="33">
        <v>30</v>
      </c>
      <c r="H73">
        <v>21850</v>
      </c>
      <c r="I73" s="32">
        <v>734</v>
      </c>
      <c r="J73" s="32">
        <v>674</v>
      </c>
      <c r="K73" s="72">
        <v>2089000000</v>
      </c>
      <c r="L73" s="72">
        <v>5425509.1600000001</v>
      </c>
      <c r="M73" s="72">
        <v>6225000</v>
      </c>
      <c r="N73">
        <v>309.20000000000005</v>
      </c>
      <c r="O73">
        <v>12380</v>
      </c>
      <c r="P73" s="72">
        <v>81340000</v>
      </c>
      <c r="Q73" s="72">
        <v>542200</v>
      </c>
      <c r="R73" s="72">
        <v>856600</v>
      </c>
      <c r="S73">
        <v>61</v>
      </c>
      <c r="T73" s="32">
        <v>85.15</v>
      </c>
      <c r="U73" s="72">
        <v>2568000</v>
      </c>
      <c r="V73" s="72">
        <v>11450000000000</v>
      </c>
      <c r="W73" t="s">
        <v>369</v>
      </c>
      <c r="Y73" s="72"/>
    </row>
    <row r="74" spans="1:39" x14ac:dyDescent="0.25">
      <c r="A74" s="23" t="s">
        <v>281</v>
      </c>
      <c r="B74" s="36">
        <v>198</v>
      </c>
      <c r="C74" s="32">
        <v>870</v>
      </c>
      <c r="D74" s="32">
        <v>300</v>
      </c>
      <c r="E74" s="32">
        <v>15</v>
      </c>
      <c r="F74" s="32">
        <v>20</v>
      </c>
      <c r="G74" s="33">
        <v>30</v>
      </c>
      <c r="H74">
        <v>25220</v>
      </c>
      <c r="I74" s="32">
        <v>830</v>
      </c>
      <c r="J74" s="32">
        <v>770</v>
      </c>
      <c r="K74" s="72">
        <v>3011000000</v>
      </c>
      <c r="L74" s="72">
        <v>6922872.2000000002</v>
      </c>
      <c r="M74" s="72">
        <v>7999000</v>
      </c>
      <c r="N74">
        <v>345.5</v>
      </c>
      <c r="O74">
        <v>14719.999999999998</v>
      </c>
      <c r="P74" s="72">
        <v>90410000</v>
      </c>
      <c r="Q74" s="72">
        <v>602800</v>
      </c>
      <c r="R74" s="72">
        <v>957700</v>
      </c>
      <c r="S74">
        <v>59.900000000000006</v>
      </c>
      <c r="T74" s="32">
        <v>90.15</v>
      </c>
      <c r="U74" s="72">
        <v>3349000</v>
      </c>
      <c r="V74" s="72">
        <v>16260000000000</v>
      </c>
      <c r="W74" t="s">
        <v>369</v>
      </c>
      <c r="Y74" s="72"/>
      <c r="Z74" s="87">
        <v>0</v>
      </c>
      <c r="AB74" t="s">
        <v>110</v>
      </c>
      <c r="AC74">
        <v>2000</v>
      </c>
      <c r="AF74" t="s">
        <v>525</v>
      </c>
      <c r="AG74" t="s">
        <v>526</v>
      </c>
      <c r="AH74" t="s">
        <v>532</v>
      </c>
    </row>
    <row r="75" spans="1:39" x14ac:dyDescent="0.25">
      <c r="A75" s="23" t="s">
        <v>183</v>
      </c>
      <c r="B75" s="24" t="s">
        <v>119</v>
      </c>
      <c r="C75" s="26">
        <v>100</v>
      </c>
      <c r="D75" s="26">
        <v>100</v>
      </c>
      <c r="E75" s="27">
        <v>6</v>
      </c>
      <c r="F75" s="27">
        <v>10</v>
      </c>
      <c r="G75" s="28">
        <v>12</v>
      </c>
      <c r="H75">
        <v>2600</v>
      </c>
      <c r="I75" s="27">
        <v>80</v>
      </c>
      <c r="J75" s="27">
        <v>56</v>
      </c>
      <c r="K75" s="72">
        <v>4495000</v>
      </c>
      <c r="L75" s="72">
        <v>89910</v>
      </c>
      <c r="M75" s="72">
        <v>104200</v>
      </c>
      <c r="N75">
        <v>41.6</v>
      </c>
      <c r="O75">
        <v>903.99999999999989</v>
      </c>
      <c r="P75" s="72">
        <v>1673000</v>
      </c>
      <c r="Q75" s="72">
        <v>33450</v>
      </c>
      <c r="R75" s="72">
        <v>51420</v>
      </c>
      <c r="S75">
        <v>25.299999999999997</v>
      </c>
      <c r="T75" s="27">
        <v>40.06</v>
      </c>
      <c r="U75" s="72">
        <v>92500</v>
      </c>
      <c r="V75" s="72">
        <v>3380000000</v>
      </c>
      <c r="W75" t="s">
        <v>369</v>
      </c>
      <c r="Y75" s="72"/>
      <c r="Z75" s="87" t="s">
        <v>504</v>
      </c>
      <c r="AB75" t="s">
        <v>510</v>
      </c>
      <c r="AC75">
        <v>200</v>
      </c>
      <c r="AF75" s="90">
        <f>m</f>
        <v>2</v>
      </c>
      <c r="AG75" s="89">
        <f>mm</f>
        <v>2000</v>
      </c>
      <c r="AH75">
        <f>U_From/U_to</f>
        <v>1E-3</v>
      </c>
    </row>
    <row r="76" spans="1:39" x14ac:dyDescent="0.25">
      <c r="A76" s="23" t="s">
        <v>287</v>
      </c>
      <c r="B76" s="36">
        <v>314</v>
      </c>
      <c r="C76" s="32">
        <v>1000</v>
      </c>
      <c r="D76" s="32">
        <v>300</v>
      </c>
      <c r="E76" s="32">
        <v>19</v>
      </c>
      <c r="F76" s="32">
        <v>36</v>
      </c>
      <c r="G76" s="33">
        <v>30</v>
      </c>
      <c r="H76">
        <v>40000</v>
      </c>
      <c r="I76" s="32">
        <v>928</v>
      </c>
      <c r="J76" s="32">
        <v>868</v>
      </c>
      <c r="K76" s="72">
        <v>6447000000</v>
      </c>
      <c r="L76" s="72">
        <v>12890000</v>
      </c>
      <c r="M76" s="72">
        <v>14860000</v>
      </c>
      <c r="N76">
        <v>401.5</v>
      </c>
      <c r="O76">
        <v>21250</v>
      </c>
      <c r="P76" s="72">
        <v>162800000</v>
      </c>
      <c r="Q76" s="72">
        <v>1085050.2</v>
      </c>
      <c r="R76" s="72">
        <v>1716000</v>
      </c>
      <c r="S76">
        <v>63.8</v>
      </c>
      <c r="T76" s="32">
        <v>126.1</v>
      </c>
      <c r="U76" s="72">
        <v>12540000</v>
      </c>
      <c r="V76" s="72">
        <v>37640000000000</v>
      </c>
      <c r="W76" t="s">
        <v>369</v>
      </c>
      <c r="Y76" s="72"/>
      <c r="Z76" s="87" t="s">
        <v>505</v>
      </c>
      <c r="AB76" t="s">
        <v>511</v>
      </c>
      <c r="AC76">
        <v>2</v>
      </c>
      <c r="AH76">
        <f>MOD(LOG10(cov),1)</f>
        <v>0</v>
      </c>
    </row>
    <row r="77" spans="1:39" x14ac:dyDescent="0.25">
      <c r="A77" s="23" t="s">
        <v>188</v>
      </c>
      <c r="B77" s="36" t="s">
        <v>123</v>
      </c>
      <c r="C77" s="32">
        <v>120</v>
      </c>
      <c r="D77" s="32">
        <v>120</v>
      </c>
      <c r="E77" s="27">
        <v>6.5</v>
      </c>
      <c r="F77" s="27">
        <v>11</v>
      </c>
      <c r="G77" s="28">
        <v>12</v>
      </c>
      <c r="H77">
        <v>3400</v>
      </c>
      <c r="I77" s="27">
        <v>98</v>
      </c>
      <c r="J77" s="27">
        <v>74</v>
      </c>
      <c r="K77" s="72">
        <v>8644000</v>
      </c>
      <c r="L77" s="72">
        <v>144100</v>
      </c>
      <c r="M77" s="72">
        <v>165200</v>
      </c>
      <c r="N77">
        <v>50.4</v>
      </c>
      <c r="O77">
        <v>1096</v>
      </c>
      <c r="P77" s="72">
        <v>3175000</v>
      </c>
      <c r="Q77" s="72">
        <v>52920</v>
      </c>
      <c r="R77" s="72">
        <v>80970</v>
      </c>
      <c r="S77">
        <v>30.6</v>
      </c>
      <c r="T77" s="34">
        <v>42.56</v>
      </c>
      <c r="U77" s="72">
        <v>138400</v>
      </c>
      <c r="V77" s="72">
        <v>9410000000</v>
      </c>
      <c r="W77" t="s">
        <v>369</v>
      </c>
      <c r="Y77" s="72"/>
      <c r="Z77" s="87" t="s">
        <v>506</v>
      </c>
      <c r="AB77" t="s">
        <v>514</v>
      </c>
      <c r="AC77">
        <v>4000000</v>
      </c>
    </row>
    <row r="78" spans="1:39" x14ac:dyDescent="0.25">
      <c r="A78" s="23" t="s">
        <v>193</v>
      </c>
      <c r="B78" s="36" t="s">
        <v>127</v>
      </c>
      <c r="C78" s="32">
        <v>140</v>
      </c>
      <c r="D78" s="32">
        <v>140</v>
      </c>
      <c r="E78" s="27">
        <v>7</v>
      </c>
      <c r="F78" s="27">
        <v>12</v>
      </c>
      <c r="G78" s="28">
        <v>12</v>
      </c>
      <c r="H78">
        <v>4300</v>
      </c>
      <c r="I78" s="27">
        <v>116</v>
      </c>
      <c r="J78" s="27">
        <v>92</v>
      </c>
      <c r="K78" s="72">
        <v>15090000</v>
      </c>
      <c r="L78" s="72">
        <v>215600</v>
      </c>
      <c r="M78" s="72">
        <v>245400</v>
      </c>
      <c r="N78">
        <v>59.3</v>
      </c>
      <c r="O78">
        <v>1308</v>
      </c>
      <c r="P78" s="72">
        <v>5497000</v>
      </c>
      <c r="Q78" s="72">
        <v>78520</v>
      </c>
      <c r="R78" s="72">
        <v>119800</v>
      </c>
      <c r="S78">
        <v>35.799999999999997</v>
      </c>
      <c r="T78" s="34">
        <v>45.06</v>
      </c>
      <c r="U78" s="72">
        <v>200600</v>
      </c>
      <c r="V78" s="72">
        <v>22480000000</v>
      </c>
      <c r="W78" t="s">
        <v>369</v>
      </c>
      <c r="Y78" s="72"/>
      <c r="Z78" s="87" t="s">
        <v>507</v>
      </c>
      <c r="AB78" t="s">
        <v>515</v>
      </c>
      <c r="AC78">
        <v>8000000000</v>
      </c>
    </row>
    <row r="79" spans="1:39" x14ac:dyDescent="0.25">
      <c r="A79" s="23" t="s">
        <v>198</v>
      </c>
      <c r="B79" s="36" t="s">
        <v>131</v>
      </c>
      <c r="C79" s="32">
        <v>160</v>
      </c>
      <c r="D79" s="32">
        <v>160</v>
      </c>
      <c r="E79" s="27">
        <v>8</v>
      </c>
      <c r="F79" s="27">
        <v>13</v>
      </c>
      <c r="G79" s="28">
        <v>15</v>
      </c>
      <c r="H79">
        <v>5430</v>
      </c>
      <c r="I79" s="27">
        <v>134</v>
      </c>
      <c r="J79" s="27">
        <v>104</v>
      </c>
      <c r="K79" s="72">
        <v>24920000</v>
      </c>
      <c r="L79" s="72">
        <v>311499.78000000003</v>
      </c>
      <c r="M79" s="72">
        <v>354000</v>
      </c>
      <c r="N79">
        <v>67.8</v>
      </c>
      <c r="O79">
        <v>1759</v>
      </c>
      <c r="P79" s="72">
        <v>8892000</v>
      </c>
      <c r="Q79" s="72">
        <v>111200</v>
      </c>
      <c r="R79" s="72">
        <v>170000</v>
      </c>
      <c r="S79">
        <v>40.5</v>
      </c>
      <c r="T79" s="34">
        <v>51.57</v>
      </c>
      <c r="U79" s="72">
        <v>312400</v>
      </c>
      <c r="V79" s="72">
        <v>47940000000</v>
      </c>
      <c r="W79" t="s">
        <v>369</v>
      </c>
      <c r="Y79" s="72"/>
      <c r="AB79" s="88" t="s">
        <v>513</v>
      </c>
      <c r="AC79">
        <v>16000000000000</v>
      </c>
    </row>
    <row r="80" spans="1:39" x14ac:dyDescent="0.25">
      <c r="A80" s="23" t="s">
        <v>203</v>
      </c>
      <c r="B80" s="36" t="s">
        <v>135</v>
      </c>
      <c r="C80" s="32">
        <v>180</v>
      </c>
      <c r="D80" s="32">
        <v>180</v>
      </c>
      <c r="E80" s="27">
        <v>8.5</v>
      </c>
      <c r="F80" s="27">
        <v>14</v>
      </c>
      <c r="G80" s="28">
        <v>15</v>
      </c>
      <c r="H80">
        <v>6530</v>
      </c>
      <c r="I80" s="27">
        <v>152</v>
      </c>
      <c r="J80" s="27">
        <v>122</v>
      </c>
      <c r="K80" s="72">
        <v>38310000</v>
      </c>
      <c r="L80" s="72">
        <v>425700</v>
      </c>
      <c r="M80" s="72">
        <v>481400</v>
      </c>
      <c r="N80">
        <v>76.599999999999994</v>
      </c>
      <c r="O80">
        <v>2023.9999999999998</v>
      </c>
      <c r="P80" s="72">
        <v>13630000</v>
      </c>
      <c r="Q80" s="72">
        <v>151400</v>
      </c>
      <c r="R80" s="72">
        <v>231000</v>
      </c>
      <c r="S80">
        <v>45.7</v>
      </c>
      <c r="T80" s="34">
        <v>54.07</v>
      </c>
      <c r="U80" s="72">
        <v>421599.99999999994</v>
      </c>
      <c r="V80" s="72">
        <v>93750000000</v>
      </c>
      <c r="W80" t="s">
        <v>369</v>
      </c>
      <c r="Y80" s="72"/>
      <c r="Z80" s="87" t="s">
        <v>509</v>
      </c>
      <c r="AB80" t="s">
        <v>517</v>
      </c>
      <c r="AC80">
        <v>4</v>
      </c>
    </row>
    <row r="81" spans="1:29" x14ac:dyDescent="0.25">
      <c r="A81" s="23" t="s">
        <v>208</v>
      </c>
      <c r="B81" s="36" t="s">
        <v>139</v>
      </c>
      <c r="C81" s="32">
        <v>200</v>
      </c>
      <c r="D81" s="32">
        <v>200</v>
      </c>
      <c r="E81" s="27">
        <v>9</v>
      </c>
      <c r="F81" s="27">
        <v>15</v>
      </c>
      <c r="G81" s="28">
        <v>18</v>
      </c>
      <c r="H81">
        <v>7809.9999999999991</v>
      </c>
      <c r="I81" s="27">
        <v>170</v>
      </c>
      <c r="J81" s="27">
        <v>134</v>
      </c>
      <c r="K81" s="72">
        <v>56960000</v>
      </c>
      <c r="L81" s="72">
        <v>569600</v>
      </c>
      <c r="M81" s="72">
        <v>642500</v>
      </c>
      <c r="N81">
        <v>85.399999999999991</v>
      </c>
      <c r="O81">
        <v>2483</v>
      </c>
      <c r="P81" s="72">
        <v>20030000</v>
      </c>
      <c r="Q81" s="72">
        <v>200300</v>
      </c>
      <c r="R81" s="72">
        <v>305800</v>
      </c>
      <c r="S81">
        <v>50.7</v>
      </c>
      <c r="T81" s="34">
        <v>60.09</v>
      </c>
      <c r="U81" s="72">
        <v>592800</v>
      </c>
      <c r="V81" s="72">
        <v>171100000000</v>
      </c>
      <c r="W81" t="s">
        <v>369</v>
      </c>
      <c r="Y81" s="72"/>
      <c r="Z81" s="87" t="s">
        <v>508</v>
      </c>
      <c r="AB81" t="s">
        <v>518</v>
      </c>
      <c r="AC81">
        <v>8</v>
      </c>
    </row>
    <row r="82" spans="1:29" x14ac:dyDescent="0.25">
      <c r="A82" s="23" t="s">
        <v>213</v>
      </c>
      <c r="B82" s="36" t="s">
        <v>142</v>
      </c>
      <c r="C82" s="32">
        <v>220</v>
      </c>
      <c r="D82" s="32">
        <v>220</v>
      </c>
      <c r="E82" s="27">
        <v>9.5</v>
      </c>
      <c r="F82" s="27">
        <v>16</v>
      </c>
      <c r="G82" s="28">
        <v>18</v>
      </c>
      <c r="H82">
        <v>9100</v>
      </c>
      <c r="I82" s="27">
        <v>188</v>
      </c>
      <c r="J82" s="27">
        <v>152</v>
      </c>
      <c r="K82" s="72">
        <v>80910000</v>
      </c>
      <c r="L82" s="72">
        <v>735500</v>
      </c>
      <c r="M82" s="72">
        <v>827000</v>
      </c>
      <c r="N82">
        <v>94.3</v>
      </c>
      <c r="O82">
        <v>2792</v>
      </c>
      <c r="P82" s="72">
        <v>28430000</v>
      </c>
      <c r="Q82" s="72">
        <v>258478.59</v>
      </c>
      <c r="R82" s="72">
        <v>393900</v>
      </c>
      <c r="S82">
        <v>55.9</v>
      </c>
      <c r="T82" s="34">
        <v>62.59</v>
      </c>
      <c r="U82" s="72">
        <v>765699.99999999988</v>
      </c>
      <c r="V82" s="72">
        <v>295400000000</v>
      </c>
      <c r="W82" t="s">
        <v>369</v>
      </c>
      <c r="Y82" s="72"/>
      <c r="Z82" s="87"/>
      <c r="AB82" s="88" t="s">
        <v>519</v>
      </c>
      <c r="AC82">
        <v>16</v>
      </c>
    </row>
    <row r="83" spans="1:29" x14ac:dyDescent="0.25">
      <c r="A83" s="23" t="s">
        <v>218</v>
      </c>
      <c r="B83" s="36" t="s">
        <v>145</v>
      </c>
      <c r="C83" s="32">
        <v>240</v>
      </c>
      <c r="D83" s="32">
        <v>240</v>
      </c>
      <c r="E83" s="27">
        <v>10</v>
      </c>
      <c r="F83" s="27">
        <v>17</v>
      </c>
      <c r="G83" s="28">
        <v>21</v>
      </c>
      <c r="H83">
        <v>10600</v>
      </c>
      <c r="I83" s="27">
        <v>206</v>
      </c>
      <c r="J83" s="27">
        <v>164</v>
      </c>
      <c r="K83" s="72">
        <v>112600000</v>
      </c>
      <c r="L83" s="72">
        <v>938300</v>
      </c>
      <c r="M83" s="72">
        <v>1053000</v>
      </c>
      <c r="N83">
        <v>103.10000000000001</v>
      </c>
      <c r="O83">
        <v>3322.9999999999995</v>
      </c>
      <c r="P83" s="72">
        <v>39230000</v>
      </c>
      <c r="Q83" s="72">
        <v>326900</v>
      </c>
      <c r="R83" s="72">
        <v>498400</v>
      </c>
      <c r="S83">
        <v>60.8</v>
      </c>
      <c r="T83" s="34">
        <v>68.599999999999994</v>
      </c>
      <c r="U83" s="72">
        <v>1027000</v>
      </c>
      <c r="V83" s="72">
        <v>486900000000</v>
      </c>
      <c r="W83" t="s">
        <v>369</v>
      </c>
      <c r="Y83" s="72"/>
      <c r="AB83" t="s">
        <v>520</v>
      </c>
      <c r="AC83">
        <v>40000</v>
      </c>
    </row>
    <row r="84" spans="1:29" x14ac:dyDescent="0.25">
      <c r="A84" s="23" t="s">
        <v>223</v>
      </c>
      <c r="B84" s="36">
        <v>93</v>
      </c>
      <c r="C84" s="32">
        <v>260</v>
      </c>
      <c r="D84" s="32">
        <v>260</v>
      </c>
      <c r="E84" s="32">
        <v>10</v>
      </c>
      <c r="F84" s="32">
        <v>17.5</v>
      </c>
      <c r="G84" s="33">
        <v>24</v>
      </c>
      <c r="H84">
        <v>11840</v>
      </c>
      <c r="I84" s="32">
        <v>225</v>
      </c>
      <c r="J84" s="32">
        <v>177</v>
      </c>
      <c r="K84" s="72">
        <v>149200000</v>
      </c>
      <c r="L84" s="72">
        <v>1147646.75</v>
      </c>
      <c r="M84" s="72">
        <v>1283000</v>
      </c>
      <c r="N84">
        <v>112.2</v>
      </c>
      <c r="O84">
        <v>3759.0000000000005</v>
      </c>
      <c r="P84" s="72">
        <v>51350000</v>
      </c>
      <c r="Q84" s="72">
        <v>395000</v>
      </c>
      <c r="R84" s="72">
        <v>602200</v>
      </c>
      <c r="S84">
        <v>65.8</v>
      </c>
      <c r="T84" s="32">
        <v>73.12</v>
      </c>
      <c r="U84" s="72">
        <v>1238000</v>
      </c>
      <c r="V84" s="72">
        <v>753700000000</v>
      </c>
      <c r="W84" t="s">
        <v>369</v>
      </c>
      <c r="Y84" s="72"/>
      <c r="AB84" t="s">
        <v>521</v>
      </c>
      <c r="AC84">
        <v>8000000</v>
      </c>
    </row>
    <row r="85" spans="1:29" x14ac:dyDescent="0.25">
      <c r="A85" s="23" t="s">
        <v>228</v>
      </c>
      <c r="B85" s="36">
        <v>103</v>
      </c>
      <c r="C85" s="32">
        <v>280</v>
      </c>
      <c r="D85" s="32">
        <v>280</v>
      </c>
      <c r="E85" s="32">
        <v>10.5</v>
      </c>
      <c r="F85" s="32">
        <v>18</v>
      </c>
      <c r="G85" s="33">
        <v>24</v>
      </c>
      <c r="H85">
        <v>13140</v>
      </c>
      <c r="I85" s="32">
        <v>244</v>
      </c>
      <c r="J85" s="32">
        <v>196</v>
      </c>
      <c r="K85" s="72">
        <v>192700000</v>
      </c>
      <c r="L85" s="72">
        <v>1376446.6</v>
      </c>
      <c r="M85" s="72">
        <v>1534000</v>
      </c>
      <c r="N85">
        <v>121.1</v>
      </c>
      <c r="O85">
        <v>4109</v>
      </c>
      <c r="P85" s="72">
        <v>65950000</v>
      </c>
      <c r="Q85" s="72">
        <v>471000</v>
      </c>
      <c r="R85" s="72">
        <v>717600</v>
      </c>
      <c r="S85">
        <v>70.900000000000006</v>
      </c>
      <c r="T85" s="32">
        <v>74.62</v>
      </c>
      <c r="U85" s="72">
        <v>1437000</v>
      </c>
      <c r="V85" s="72">
        <v>1130000000000</v>
      </c>
      <c r="W85" t="s">
        <v>369</v>
      </c>
      <c r="Y85" s="72"/>
      <c r="AB85" s="88" t="s">
        <v>522</v>
      </c>
      <c r="AC85">
        <v>1600000000</v>
      </c>
    </row>
    <row r="86" spans="1:29" x14ac:dyDescent="0.25">
      <c r="A86" s="23" t="s">
        <v>233</v>
      </c>
      <c r="B86" s="36">
        <v>117</v>
      </c>
      <c r="C86" s="32">
        <v>300</v>
      </c>
      <c r="D86" s="32">
        <v>300</v>
      </c>
      <c r="E86" s="32">
        <v>11</v>
      </c>
      <c r="F86" s="32">
        <v>19</v>
      </c>
      <c r="G86" s="33">
        <v>27</v>
      </c>
      <c r="H86">
        <v>14910</v>
      </c>
      <c r="I86" s="32">
        <v>262</v>
      </c>
      <c r="J86" s="32">
        <v>208</v>
      </c>
      <c r="K86" s="72">
        <v>251700000</v>
      </c>
      <c r="L86" s="72">
        <v>1677709.88</v>
      </c>
      <c r="M86" s="72">
        <v>1869000</v>
      </c>
      <c r="N86">
        <v>129.9</v>
      </c>
      <c r="O86">
        <v>4743</v>
      </c>
      <c r="P86" s="72">
        <v>85630000</v>
      </c>
      <c r="Q86" s="72">
        <v>570900</v>
      </c>
      <c r="R86" s="72">
        <v>870100</v>
      </c>
      <c r="S86">
        <v>75.8</v>
      </c>
      <c r="T86" s="32">
        <v>80.63</v>
      </c>
      <c r="U86" s="72">
        <v>1850000</v>
      </c>
      <c r="V86" s="72">
        <v>1688000000000</v>
      </c>
      <c r="W86" t="s">
        <v>369</v>
      </c>
      <c r="Y86" s="72"/>
      <c r="AB86" t="s">
        <v>461</v>
      </c>
      <c r="AC86">
        <v>3</v>
      </c>
    </row>
    <row r="87" spans="1:29" x14ac:dyDescent="0.25">
      <c r="A87" s="23" t="s">
        <v>238</v>
      </c>
      <c r="B87" s="36">
        <v>127</v>
      </c>
      <c r="C87" s="32">
        <v>320</v>
      </c>
      <c r="D87" s="32">
        <v>300</v>
      </c>
      <c r="E87" s="32">
        <v>11.5</v>
      </c>
      <c r="F87" s="32">
        <v>20.5</v>
      </c>
      <c r="G87" s="33">
        <v>27</v>
      </c>
      <c r="H87">
        <v>16130.000000000002</v>
      </c>
      <c r="I87" s="32">
        <v>279</v>
      </c>
      <c r="J87" s="32">
        <v>225</v>
      </c>
      <c r="K87" s="72">
        <v>308200000</v>
      </c>
      <c r="L87" s="72">
        <v>1926469.29</v>
      </c>
      <c r="M87" s="72">
        <v>2149000</v>
      </c>
      <c r="N87">
        <v>138.19999999999999</v>
      </c>
      <c r="O87">
        <v>5177</v>
      </c>
      <c r="P87" s="72">
        <v>92390000</v>
      </c>
      <c r="Q87" s="72">
        <v>615900</v>
      </c>
      <c r="R87" s="72">
        <v>939100</v>
      </c>
      <c r="S87">
        <v>75.7</v>
      </c>
      <c r="T87" s="32">
        <v>84.13</v>
      </c>
      <c r="U87" s="72">
        <v>2251000</v>
      </c>
      <c r="V87" s="72">
        <v>2069000000000</v>
      </c>
      <c r="W87" t="s">
        <v>369</v>
      </c>
      <c r="Y87" s="72"/>
      <c r="AB87" t="s">
        <v>512</v>
      </c>
      <c r="AC87">
        <v>3000</v>
      </c>
    </row>
    <row r="88" spans="1:29" x14ac:dyDescent="0.25">
      <c r="A88" s="23" t="s">
        <v>243</v>
      </c>
      <c r="B88" s="36">
        <v>134</v>
      </c>
      <c r="C88" s="32">
        <v>340</v>
      </c>
      <c r="D88" s="32">
        <v>300</v>
      </c>
      <c r="E88" s="32">
        <v>12</v>
      </c>
      <c r="F88" s="32">
        <v>21.5</v>
      </c>
      <c r="G88" s="33">
        <v>27</v>
      </c>
      <c r="H88">
        <v>17090</v>
      </c>
      <c r="I88" s="32">
        <v>297</v>
      </c>
      <c r="J88" s="32">
        <v>243</v>
      </c>
      <c r="K88" s="72">
        <v>366600000</v>
      </c>
      <c r="L88" s="72">
        <v>2156256.6800000002</v>
      </c>
      <c r="M88" s="72">
        <v>2408000</v>
      </c>
      <c r="N88">
        <v>146.45578634178145</v>
      </c>
      <c r="O88">
        <v>5609</v>
      </c>
      <c r="P88" s="72">
        <v>96900000</v>
      </c>
      <c r="Q88" s="72">
        <v>646000</v>
      </c>
      <c r="R88" s="72">
        <v>985700</v>
      </c>
      <c r="S88">
        <v>75.3</v>
      </c>
      <c r="T88" s="32">
        <v>86.63</v>
      </c>
      <c r="U88" s="72">
        <v>2572000</v>
      </c>
      <c r="V88" s="72">
        <v>2454000000000</v>
      </c>
      <c r="W88" t="s">
        <v>369</v>
      </c>
      <c r="Y88" s="72"/>
      <c r="AB88" t="s">
        <v>516</v>
      </c>
    </row>
    <row r="89" spans="1:29" x14ac:dyDescent="0.25">
      <c r="A89" s="23" t="s">
        <v>247</v>
      </c>
      <c r="B89" s="36">
        <v>142</v>
      </c>
      <c r="C89" s="32">
        <v>360</v>
      </c>
      <c r="D89" s="32">
        <v>300</v>
      </c>
      <c r="E89" s="32">
        <v>12.5</v>
      </c>
      <c r="F89" s="32">
        <v>22.5</v>
      </c>
      <c r="G89" s="33">
        <v>27</v>
      </c>
      <c r="H89">
        <v>18060</v>
      </c>
      <c r="I89" s="32">
        <v>315</v>
      </c>
      <c r="J89" s="32">
        <v>261</v>
      </c>
      <c r="K89" s="72">
        <v>431900000</v>
      </c>
      <c r="L89" s="72">
        <v>2399634.19</v>
      </c>
      <c r="M89" s="72">
        <v>2683000</v>
      </c>
      <c r="N89">
        <v>154.60000000000002</v>
      </c>
      <c r="O89">
        <v>6060</v>
      </c>
      <c r="P89" s="72">
        <v>101400000</v>
      </c>
      <c r="Q89" s="72">
        <v>676100</v>
      </c>
      <c r="R89" s="72">
        <v>1032000</v>
      </c>
      <c r="S89">
        <v>74.900000000000006</v>
      </c>
      <c r="T89" s="32">
        <v>89.13</v>
      </c>
      <c r="U89" s="72">
        <v>2925000</v>
      </c>
      <c r="V89" s="72">
        <v>2883000000000</v>
      </c>
      <c r="W89" t="s">
        <v>369</v>
      </c>
      <c r="Y89" s="72"/>
      <c r="AB89" t="s">
        <v>523</v>
      </c>
    </row>
    <row r="90" spans="1:29" x14ac:dyDescent="0.25">
      <c r="A90" s="23" t="s">
        <v>251</v>
      </c>
      <c r="B90" s="36">
        <v>155</v>
      </c>
      <c r="C90" s="32">
        <v>400</v>
      </c>
      <c r="D90" s="32">
        <v>300</v>
      </c>
      <c r="E90" s="32">
        <v>13.5</v>
      </c>
      <c r="F90" s="32">
        <v>24</v>
      </c>
      <c r="G90" s="33">
        <v>27</v>
      </c>
      <c r="H90">
        <v>19780</v>
      </c>
      <c r="I90" s="32">
        <v>352</v>
      </c>
      <c r="J90" s="32">
        <v>298</v>
      </c>
      <c r="K90" s="72">
        <v>576804819.03864408</v>
      </c>
      <c r="L90" s="72">
        <v>2884024.1</v>
      </c>
      <c r="M90" s="72">
        <v>3232000</v>
      </c>
      <c r="N90">
        <v>170.79999999999998</v>
      </c>
      <c r="O90">
        <v>6998</v>
      </c>
      <c r="P90" s="72">
        <v>108200000</v>
      </c>
      <c r="Q90" s="72">
        <v>721300</v>
      </c>
      <c r="R90" s="72">
        <v>1104000</v>
      </c>
      <c r="S90">
        <v>74</v>
      </c>
      <c r="T90" s="32">
        <v>93.13</v>
      </c>
      <c r="U90" s="72">
        <v>3557000</v>
      </c>
      <c r="V90" s="72">
        <v>3817000000000</v>
      </c>
      <c r="W90" t="s">
        <v>369</v>
      </c>
      <c r="Y90" s="72"/>
      <c r="AB90" t="s">
        <v>524</v>
      </c>
    </row>
    <row r="91" spans="1:29" x14ac:dyDescent="0.25">
      <c r="A91" s="52" t="s">
        <v>255</v>
      </c>
      <c r="B91" s="53">
        <v>171</v>
      </c>
      <c r="C91" s="26">
        <v>450</v>
      </c>
      <c r="D91" s="26">
        <v>300</v>
      </c>
      <c r="E91" s="26">
        <v>14</v>
      </c>
      <c r="F91" s="26">
        <v>26</v>
      </c>
      <c r="G91" s="54">
        <v>27</v>
      </c>
      <c r="H91">
        <v>21800</v>
      </c>
      <c r="I91" s="26">
        <v>398</v>
      </c>
      <c r="J91" s="26">
        <v>344</v>
      </c>
      <c r="K91" s="72">
        <v>798900000</v>
      </c>
      <c r="L91" s="72">
        <v>3550556.27</v>
      </c>
      <c r="M91" s="72">
        <v>3982000</v>
      </c>
      <c r="N91">
        <v>191.4</v>
      </c>
      <c r="O91">
        <v>7966</v>
      </c>
      <c r="P91" s="72">
        <v>117200000</v>
      </c>
      <c r="Q91" s="72">
        <v>781400</v>
      </c>
      <c r="R91" s="72">
        <v>1198000</v>
      </c>
      <c r="S91">
        <v>73.3</v>
      </c>
      <c r="T91" s="31">
        <v>97.63</v>
      </c>
      <c r="U91" s="72">
        <v>4405000</v>
      </c>
      <c r="V91" s="72">
        <v>5258000000000</v>
      </c>
      <c r="W91" t="s">
        <v>369</v>
      </c>
      <c r="Y91" s="72"/>
      <c r="AB91" t="s">
        <v>398</v>
      </c>
    </row>
    <row r="92" spans="1:29" x14ac:dyDescent="0.25">
      <c r="A92" s="23" t="s">
        <v>259</v>
      </c>
      <c r="B92" s="36">
        <v>187</v>
      </c>
      <c r="C92" s="32">
        <v>500</v>
      </c>
      <c r="D92" s="32">
        <v>300</v>
      </c>
      <c r="E92" s="32">
        <v>14.5</v>
      </c>
      <c r="F92" s="32">
        <v>28</v>
      </c>
      <c r="G92" s="33">
        <v>27</v>
      </c>
      <c r="H92">
        <v>23860</v>
      </c>
      <c r="I92" s="32">
        <v>444</v>
      </c>
      <c r="J92" s="32">
        <v>390</v>
      </c>
      <c r="K92" s="72">
        <v>1072000000</v>
      </c>
      <c r="L92" s="72">
        <v>4287029.22</v>
      </c>
      <c r="M92" s="72">
        <v>4815000</v>
      </c>
      <c r="N92">
        <v>211.9</v>
      </c>
      <c r="O92">
        <v>8982</v>
      </c>
      <c r="P92" s="72">
        <v>126200000</v>
      </c>
      <c r="Q92" s="72">
        <v>841600</v>
      </c>
      <c r="R92" s="72">
        <v>1292000</v>
      </c>
      <c r="S92">
        <v>72.699999999999989</v>
      </c>
      <c r="T92" s="31">
        <v>102.1</v>
      </c>
      <c r="U92" s="72">
        <v>5384000</v>
      </c>
      <c r="V92" s="72">
        <v>7018000000000</v>
      </c>
      <c r="W92" t="s">
        <v>369</v>
      </c>
      <c r="Y92" s="72"/>
      <c r="AB92" t="s">
        <v>527</v>
      </c>
    </row>
    <row r="93" spans="1:29" x14ac:dyDescent="0.25">
      <c r="A93" s="23" t="s">
        <v>263</v>
      </c>
      <c r="B93" s="36">
        <v>199</v>
      </c>
      <c r="C93" s="32">
        <v>550</v>
      </c>
      <c r="D93" s="32">
        <v>300</v>
      </c>
      <c r="E93" s="32">
        <v>15</v>
      </c>
      <c r="F93" s="32">
        <v>29</v>
      </c>
      <c r="G93" s="33">
        <v>27</v>
      </c>
      <c r="H93">
        <v>25410</v>
      </c>
      <c r="I93" s="32">
        <v>492</v>
      </c>
      <c r="J93" s="32">
        <v>438</v>
      </c>
      <c r="K93" s="72">
        <v>1367000000</v>
      </c>
      <c r="L93" s="72">
        <v>4970574.95</v>
      </c>
      <c r="M93" s="72">
        <v>5591000</v>
      </c>
      <c r="N93">
        <v>232</v>
      </c>
      <c r="O93">
        <v>10010</v>
      </c>
      <c r="P93" s="72">
        <v>130800000</v>
      </c>
      <c r="Q93" s="72">
        <v>871800</v>
      </c>
      <c r="R93" s="72">
        <v>1341000</v>
      </c>
      <c r="S93">
        <v>71.7</v>
      </c>
      <c r="T93" s="32">
        <v>104.6</v>
      </c>
      <c r="U93" s="72">
        <v>6003000</v>
      </c>
      <c r="V93" s="72">
        <v>8856000000000</v>
      </c>
      <c r="W93" t="s">
        <v>369</v>
      </c>
      <c r="Y93" s="72"/>
      <c r="AB93" t="s">
        <v>543</v>
      </c>
    </row>
    <row r="94" spans="1:29" x14ac:dyDescent="0.25">
      <c r="A94" s="23" t="s">
        <v>267</v>
      </c>
      <c r="B94" s="36">
        <v>212</v>
      </c>
      <c r="C94" s="32">
        <v>600</v>
      </c>
      <c r="D94" s="32">
        <v>300</v>
      </c>
      <c r="E94" s="32">
        <v>15.5</v>
      </c>
      <c r="F94" s="32">
        <v>30</v>
      </c>
      <c r="G94" s="33">
        <v>27</v>
      </c>
      <c r="H94">
        <v>27000</v>
      </c>
      <c r="I94" s="32">
        <v>540</v>
      </c>
      <c r="J94" s="32">
        <v>486</v>
      </c>
      <c r="K94" s="72">
        <v>1710000000</v>
      </c>
      <c r="L94" s="72">
        <v>5701367.8499999996</v>
      </c>
      <c r="M94" s="72">
        <v>6425000</v>
      </c>
      <c r="N94">
        <v>251.70000000000002</v>
      </c>
      <c r="O94">
        <v>11080</v>
      </c>
      <c r="P94" s="72">
        <v>135300000</v>
      </c>
      <c r="Q94" s="72">
        <v>902000</v>
      </c>
      <c r="R94" s="72">
        <v>1391000</v>
      </c>
      <c r="S94">
        <v>70.8</v>
      </c>
      <c r="T94" s="32">
        <v>107.1</v>
      </c>
      <c r="U94" s="72">
        <v>6672000</v>
      </c>
      <c r="V94" s="72">
        <v>10970000000000</v>
      </c>
      <c r="W94" t="s">
        <v>369</v>
      </c>
      <c r="Y94" s="72"/>
      <c r="AB94" t="s">
        <v>528</v>
      </c>
    </row>
    <row r="95" spans="1:29" x14ac:dyDescent="0.25">
      <c r="A95" s="23" t="s">
        <v>271</v>
      </c>
      <c r="B95" s="36">
        <v>225</v>
      </c>
      <c r="C95" s="32">
        <v>650</v>
      </c>
      <c r="D95" s="32">
        <v>300</v>
      </c>
      <c r="E95" s="32">
        <v>16</v>
      </c>
      <c r="F95" s="32">
        <v>31</v>
      </c>
      <c r="G95" s="33">
        <v>27</v>
      </c>
      <c r="H95">
        <v>28630</v>
      </c>
      <c r="I95" s="32">
        <v>588</v>
      </c>
      <c r="J95" s="32">
        <v>534</v>
      </c>
      <c r="K95" s="72">
        <v>2106000000</v>
      </c>
      <c r="L95" s="72">
        <v>6480000</v>
      </c>
      <c r="M95" s="72">
        <v>7320000</v>
      </c>
      <c r="N95">
        <v>271.2</v>
      </c>
      <c r="O95">
        <v>12200</v>
      </c>
      <c r="P95" s="72">
        <v>139800000</v>
      </c>
      <c r="Q95" s="72">
        <v>932300</v>
      </c>
      <c r="R95" s="72">
        <v>1441000</v>
      </c>
      <c r="S95">
        <v>69.900000000000006</v>
      </c>
      <c r="T95" s="32">
        <v>109.6</v>
      </c>
      <c r="U95" s="72">
        <v>7392000</v>
      </c>
      <c r="V95" s="72">
        <v>13360000000000</v>
      </c>
      <c r="W95" t="s">
        <v>369</v>
      </c>
      <c r="Y95" s="72"/>
      <c r="AB95" t="s">
        <v>529</v>
      </c>
    </row>
    <row r="96" spans="1:29" x14ac:dyDescent="0.25">
      <c r="A96" s="52" t="s">
        <v>275</v>
      </c>
      <c r="B96" s="55">
        <v>241</v>
      </c>
      <c r="C96" s="26">
        <v>700</v>
      </c>
      <c r="D96" s="26">
        <v>300</v>
      </c>
      <c r="E96" s="26">
        <v>17</v>
      </c>
      <c r="F96" s="26">
        <v>32</v>
      </c>
      <c r="G96" s="54">
        <v>27</v>
      </c>
      <c r="H96">
        <v>30639.999999999996</v>
      </c>
      <c r="I96" s="26">
        <v>636</v>
      </c>
      <c r="J96" s="26">
        <v>582</v>
      </c>
      <c r="K96" s="72">
        <v>2569000000</v>
      </c>
      <c r="L96" s="72">
        <v>7339666.6500000004</v>
      </c>
      <c r="M96" s="72">
        <v>8327000</v>
      </c>
      <c r="N96">
        <v>289.60000000000002</v>
      </c>
      <c r="O96">
        <v>13710</v>
      </c>
      <c r="P96" s="72">
        <v>144400000</v>
      </c>
      <c r="Q96" s="72">
        <v>962700</v>
      </c>
      <c r="R96" s="72">
        <v>1495000</v>
      </c>
      <c r="S96">
        <v>68.7</v>
      </c>
      <c r="T96" s="27">
        <v>112.6</v>
      </c>
      <c r="U96" s="72">
        <v>8309000</v>
      </c>
      <c r="V96" s="72">
        <v>16060000000000</v>
      </c>
      <c r="W96" t="s">
        <v>369</v>
      </c>
      <c r="Y96" s="72"/>
      <c r="AB96" t="s">
        <v>530</v>
      </c>
    </row>
    <row r="97" spans="1:52" x14ac:dyDescent="0.25">
      <c r="A97" s="23" t="s">
        <v>279</v>
      </c>
      <c r="B97" s="36">
        <v>262</v>
      </c>
      <c r="C97" s="32">
        <v>800</v>
      </c>
      <c r="D97" s="32">
        <v>300</v>
      </c>
      <c r="E97" s="32">
        <v>17.5</v>
      </c>
      <c r="F97" s="32">
        <v>33</v>
      </c>
      <c r="G97" s="33">
        <v>30</v>
      </c>
      <c r="H97">
        <v>33420</v>
      </c>
      <c r="I97" s="32">
        <v>734</v>
      </c>
      <c r="J97" s="32">
        <v>674</v>
      </c>
      <c r="K97" s="72">
        <v>3591000000</v>
      </c>
      <c r="L97" s="72">
        <v>8977086.7699999996</v>
      </c>
      <c r="M97" s="72">
        <v>10230000</v>
      </c>
      <c r="N97">
        <v>327.8</v>
      </c>
      <c r="O97">
        <v>16180.000000000002</v>
      </c>
      <c r="P97" s="72">
        <v>149000000</v>
      </c>
      <c r="Q97" s="72">
        <v>993600</v>
      </c>
      <c r="R97" s="72">
        <v>1553000</v>
      </c>
      <c r="S97">
        <v>66.8</v>
      </c>
      <c r="T97" s="32">
        <v>118.6</v>
      </c>
      <c r="U97" s="72">
        <v>9460000</v>
      </c>
      <c r="V97" s="72">
        <v>21840000000000</v>
      </c>
      <c r="W97" t="s">
        <v>369</v>
      </c>
      <c r="Y97" s="72"/>
      <c r="AB97" t="s">
        <v>531</v>
      </c>
    </row>
    <row r="98" spans="1:52" x14ac:dyDescent="0.25">
      <c r="A98" s="23" t="s">
        <v>283</v>
      </c>
      <c r="B98" s="36">
        <v>291</v>
      </c>
      <c r="C98" s="32">
        <v>900</v>
      </c>
      <c r="D98" s="32">
        <v>300</v>
      </c>
      <c r="E98" s="32">
        <v>18.5</v>
      </c>
      <c r="F98" s="32">
        <v>35</v>
      </c>
      <c r="G98" s="33">
        <v>30</v>
      </c>
      <c r="H98">
        <v>37130</v>
      </c>
      <c r="I98" s="32">
        <v>830</v>
      </c>
      <c r="J98" s="32">
        <v>770</v>
      </c>
      <c r="K98" s="72">
        <v>4941000000</v>
      </c>
      <c r="L98" s="72">
        <v>10980000</v>
      </c>
      <c r="M98" s="72">
        <v>12580000</v>
      </c>
      <c r="N98">
        <v>364.79999999999995</v>
      </c>
      <c r="O98">
        <v>18880</v>
      </c>
      <c r="P98" s="72">
        <v>158200000</v>
      </c>
      <c r="Q98" s="72">
        <v>1050000</v>
      </c>
      <c r="R98" s="72">
        <v>1658000</v>
      </c>
      <c r="S98">
        <v>65.3</v>
      </c>
      <c r="T98" s="32">
        <v>123.6</v>
      </c>
      <c r="U98" s="72">
        <v>11370000</v>
      </c>
      <c r="V98" s="72">
        <v>29460000000000</v>
      </c>
      <c r="W98" t="s">
        <v>369</v>
      </c>
      <c r="Y98" s="72"/>
    </row>
    <row r="99" spans="1:52" x14ac:dyDescent="0.25">
      <c r="A99" s="23" t="s">
        <v>184</v>
      </c>
      <c r="B99" s="36">
        <v>30.9</v>
      </c>
      <c r="C99" s="32">
        <v>110</v>
      </c>
      <c r="D99" s="32">
        <v>103</v>
      </c>
      <c r="E99" s="27">
        <v>9</v>
      </c>
      <c r="F99" s="27">
        <v>15</v>
      </c>
      <c r="G99" s="28">
        <v>12</v>
      </c>
      <c r="H99">
        <v>3929.9999999999995</v>
      </c>
      <c r="I99" s="27">
        <v>80</v>
      </c>
      <c r="J99" s="27">
        <v>56</v>
      </c>
      <c r="K99" s="72">
        <v>7586525.9699999997</v>
      </c>
      <c r="L99" s="72">
        <v>137936.84</v>
      </c>
      <c r="M99" s="72">
        <v>165788.06</v>
      </c>
      <c r="N99">
        <v>43.92</v>
      </c>
      <c r="O99">
        <v>1338.61</v>
      </c>
      <c r="P99" s="72">
        <v>2743673.37</v>
      </c>
      <c r="Q99" s="72">
        <v>53275.21</v>
      </c>
      <c r="R99" s="72">
        <v>82075.070000000007</v>
      </c>
      <c r="S99">
        <v>26.41</v>
      </c>
      <c r="T99" s="34">
        <v>53.06</v>
      </c>
      <c r="U99" s="72">
        <v>292955.76</v>
      </c>
      <c r="V99" s="72">
        <v>6163663234.3800001</v>
      </c>
      <c r="W99" t="s">
        <v>369</v>
      </c>
      <c r="Y99" s="72"/>
    </row>
    <row r="100" spans="1:52" x14ac:dyDescent="0.25">
      <c r="A100" s="23" t="s">
        <v>189</v>
      </c>
      <c r="B100" s="36">
        <v>39.200000000000003</v>
      </c>
      <c r="C100" s="32">
        <v>130</v>
      </c>
      <c r="D100" s="32">
        <v>123</v>
      </c>
      <c r="E100" s="27">
        <v>9.5</v>
      </c>
      <c r="F100" s="27">
        <v>16</v>
      </c>
      <c r="G100" s="28">
        <v>12</v>
      </c>
      <c r="H100">
        <v>4990</v>
      </c>
      <c r="I100" s="27">
        <v>98</v>
      </c>
      <c r="J100" s="27">
        <v>74</v>
      </c>
      <c r="K100" s="72">
        <v>13882964.890000001</v>
      </c>
      <c r="L100" s="72">
        <v>213584.08</v>
      </c>
      <c r="M100" s="72">
        <v>252887.04000000001</v>
      </c>
      <c r="N100">
        <v>52.74</v>
      </c>
      <c r="O100">
        <v>1590.61</v>
      </c>
      <c r="P100" s="72">
        <v>4976761.3</v>
      </c>
      <c r="Q100" s="72">
        <v>80922.95</v>
      </c>
      <c r="R100" s="72">
        <v>124161.60000000001</v>
      </c>
      <c r="S100">
        <v>31.58</v>
      </c>
      <c r="T100" s="34">
        <v>55.56</v>
      </c>
      <c r="U100" s="72">
        <v>409641.89</v>
      </c>
      <c r="V100" s="72">
        <v>16122551688</v>
      </c>
      <c r="W100" t="s">
        <v>369</v>
      </c>
      <c r="Y100" s="72"/>
    </row>
    <row r="101" spans="1:52" x14ac:dyDescent="0.25">
      <c r="A101" s="23" t="s">
        <v>194</v>
      </c>
      <c r="B101" s="36">
        <v>48.2</v>
      </c>
      <c r="C101" s="32">
        <v>150</v>
      </c>
      <c r="D101" s="32">
        <v>143</v>
      </c>
      <c r="E101" s="27">
        <v>10</v>
      </c>
      <c r="F101" s="27">
        <v>17</v>
      </c>
      <c r="G101" s="28">
        <v>12</v>
      </c>
      <c r="H101">
        <v>6150</v>
      </c>
      <c r="I101" s="27">
        <v>116</v>
      </c>
      <c r="J101" s="27">
        <v>92</v>
      </c>
      <c r="K101" s="72">
        <v>23297713.23</v>
      </c>
      <c r="L101" s="72">
        <v>310636.18</v>
      </c>
      <c r="M101" s="72">
        <v>363801.03</v>
      </c>
      <c r="N101">
        <v>61.57</v>
      </c>
      <c r="O101">
        <v>1861.61</v>
      </c>
      <c r="P101" s="72">
        <v>8302834.2199999997</v>
      </c>
      <c r="Q101" s="72">
        <v>116123.56</v>
      </c>
      <c r="R101" s="72">
        <v>177665.87</v>
      </c>
      <c r="S101">
        <v>36.76</v>
      </c>
      <c r="T101" s="34">
        <v>58.06</v>
      </c>
      <c r="U101" s="72">
        <v>556796.16000000003</v>
      </c>
      <c r="V101" s="72">
        <v>36639460816.290001</v>
      </c>
      <c r="W101" t="s">
        <v>369</v>
      </c>
      <c r="Y101" s="72"/>
      <c r="Z101" s="71" t="s">
        <v>544</v>
      </c>
      <c r="AA101" s="71"/>
      <c r="AB101" s="71"/>
      <c r="AC101" s="71"/>
      <c r="AD101" s="71"/>
      <c r="AE101" s="71"/>
      <c r="AF101" s="71"/>
      <c r="AG101" s="71"/>
      <c r="AH101" s="71"/>
      <c r="AI101" s="71"/>
      <c r="AJ101" s="71"/>
      <c r="AK101" s="71"/>
      <c r="AL101" s="71"/>
      <c r="AM101" s="71"/>
      <c r="AN101" s="91"/>
      <c r="AO101" s="91"/>
      <c r="AP101" s="91"/>
      <c r="AQ101" s="91"/>
      <c r="AR101" s="91"/>
      <c r="AS101" s="91"/>
      <c r="AT101" s="91"/>
      <c r="AU101" s="91"/>
      <c r="AV101" s="91"/>
      <c r="AW101" s="91"/>
      <c r="AX101" s="91"/>
      <c r="AY101" s="91"/>
      <c r="AZ101" s="91"/>
    </row>
    <row r="102" spans="1:52" x14ac:dyDescent="0.25">
      <c r="A102" s="23" t="s">
        <v>199</v>
      </c>
      <c r="B102" s="24">
        <v>59.151000000000003</v>
      </c>
      <c r="C102" s="32">
        <v>170</v>
      </c>
      <c r="D102" s="32">
        <v>163</v>
      </c>
      <c r="E102" s="27">
        <v>11</v>
      </c>
      <c r="F102" s="27">
        <v>18</v>
      </c>
      <c r="G102" s="28">
        <v>15</v>
      </c>
      <c r="H102">
        <v>7540.0000000000009</v>
      </c>
      <c r="I102" s="27">
        <v>134</v>
      </c>
      <c r="J102" s="27">
        <v>104</v>
      </c>
      <c r="K102" s="72">
        <v>37041565.920000002</v>
      </c>
      <c r="L102" s="72">
        <v>435783.13</v>
      </c>
      <c r="M102" s="72">
        <v>507640.26</v>
      </c>
      <c r="N102">
        <v>70.11</v>
      </c>
      <c r="O102">
        <v>2405.14</v>
      </c>
      <c r="P102" s="72">
        <v>13023753.210000001</v>
      </c>
      <c r="Q102" s="72">
        <v>159800.65</v>
      </c>
      <c r="R102" s="72">
        <v>244883.89</v>
      </c>
      <c r="S102">
        <v>41.57</v>
      </c>
      <c r="T102" s="34">
        <v>64.569999999999993</v>
      </c>
      <c r="U102" s="72">
        <v>792110.95</v>
      </c>
      <c r="V102" s="72">
        <v>75043184016</v>
      </c>
      <c r="W102" t="s">
        <v>369</v>
      </c>
      <c r="Y102" s="72"/>
    </row>
    <row r="103" spans="1:52" x14ac:dyDescent="0.25">
      <c r="A103" s="23" t="s">
        <v>204</v>
      </c>
      <c r="B103" s="36">
        <v>69.826999999999998</v>
      </c>
      <c r="C103" s="32">
        <v>190</v>
      </c>
      <c r="D103" s="32">
        <v>183</v>
      </c>
      <c r="E103" s="27">
        <v>11.5</v>
      </c>
      <c r="F103" s="27">
        <v>19</v>
      </c>
      <c r="G103" s="28">
        <v>15</v>
      </c>
      <c r="H103">
        <v>8900</v>
      </c>
      <c r="I103" s="27">
        <v>152</v>
      </c>
      <c r="J103" s="27">
        <v>122</v>
      </c>
      <c r="K103" s="72">
        <v>55431048.619999997</v>
      </c>
      <c r="L103" s="72">
        <v>583484.72</v>
      </c>
      <c r="M103" s="72">
        <v>675022.52</v>
      </c>
      <c r="N103">
        <v>78.94</v>
      </c>
      <c r="O103">
        <v>2729.64</v>
      </c>
      <c r="P103" s="72">
        <v>19443656.109999999</v>
      </c>
      <c r="Q103" s="72">
        <v>212498.97</v>
      </c>
      <c r="R103" s="72">
        <v>324928.68</v>
      </c>
      <c r="S103">
        <v>46.75</v>
      </c>
      <c r="T103" s="34">
        <v>67.069999999999993</v>
      </c>
      <c r="U103" s="72">
        <v>1020737.54</v>
      </c>
      <c r="V103" s="72">
        <v>141869111623.88</v>
      </c>
      <c r="W103" t="s">
        <v>369</v>
      </c>
      <c r="Y103" s="92" t="s">
        <v>590</v>
      </c>
      <c r="Z103" s="4" t="s">
        <v>545</v>
      </c>
      <c r="AA103" s="4" t="s">
        <v>546</v>
      </c>
      <c r="AB103" s="4" t="s">
        <v>547</v>
      </c>
      <c r="AC103" s="4" t="s">
        <v>548</v>
      </c>
      <c r="AD103" s="4" t="s">
        <v>549</v>
      </c>
      <c r="AE103" s="4" t="s">
        <v>550</v>
      </c>
      <c r="AF103" s="4" t="s">
        <v>551</v>
      </c>
      <c r="AG103" s="4" t="s">
        <v>552</v>
      </c>
      <c r="AH103" s="4" t="s">
        <v>553</v>
      </c>
      <c r="AI103" s="4" t="s">
        <v>554</v>
      </c>
      <c r="AJ103" s="4" t="s">
        <v>555</v>
      </c>
      <c r="AK103" s="4" t="s">
        <v>556</v>
      </c>
      <c r="AL103" s="4" t="s">
        <v>557</v>
      </c>
      <c r="AM103" s="4" t="s">
        <v>563</v>
      </c>
      <c r="AN103" s="4" t="s">
        <v>558</v>
      </c>
      <c r="AO103" s="4" t="s">
        <v>559</v>
      </c>
      <c r="AP103" s="4" t="s">
        <v>560</v>
      </c>
      <c r="AQ103" s="4" t="s">
        <v>561</v>
      </c>
      <c r="AR103" s="4" t="s">
        <v>583</v>
      </c>
      <c r="AS103" s="4" t="s">
        <v>562</v>
      </c>
      <c r="AT103" s="4" t="s">
        <v>564</v>
      </c>
      <c r="AU103" s="4" t="s">
        <v>588</v>
      </c>
      <c r="AV103" s="92" t="s">
        <v>594</v>
      </c>
      <c r="AW103" s="92" t="s">
        <v>590</v>
      </c>
      <c r="AX103" s="92" t="s">
        <v>590</v>
      </c>
      <c r="AY103" s="92" t="s">
        <v>590</v>
      </c>
      <c r="AZ103" s="92" t="s">
        <v>590</v>
      </c>
    </row>
    <row r="104" spans="1:52" x14ac:dyDescent="0.25">
      <c r="A104" s="23" t="s">
        <v>209</v>
      </c>
      <c r="B104" s="36">
        <v>81.900000000000006</v>
      </c>
      <c r="C104" s="32">
        <v>210</v>
      </c>
      <c r="D104" s="32">
        <v>203</v>
      </c>
      <c r="E104" s="27">
        <v>12</v>
      </c>
      <c r="F104" s="27">
        <v>20</v>
      </c>
      <c r="G104" s="28">
        <v>18</v>
      </c>
      <c r="H104">
        <v>10440</v>
      </c>
      <c r="I104" s="27">
        <v>170</v>
      </c>
      <c r="J104" s="27">
        <v>134</v>
      </c>
      <c r="K104" s="72">
        <v>80293616.709999993</v>
      </c>
      <c r="L104" s="72">
        <v>764701.11</v>
      </c>
      <c r="M104" s="72">
        <v>880622.11</v>
      </c>
      <c r="N104">
        <v>87.71</v>
      </c>
      <c r="O104">
        <v>3278.12</v>
      </c>
      <c r="P104" s="72">
        <v>27940316.16</v>
      </c>
      <c r="Q104" s="72">
        <v>275274.05</v>
      </c>
      <c r="R104" s="72">
        <v>420996.96</v>
      </c>
      <c r="S104">
        <v>51.74</v>
      </c>
      <c r="T104" s="34">
        <v>73.09</v>
      </c>
      <c r="U104" s="72">
        <v>1350633.48</v>
      </c>
      <c r="V104" s="72">
        <v>251659928916.67001</v>
      </c>
      <c r="W104" t="s">
        <v>369</v>
      </c>
      <c r="Y104" s="93" t="s">
        <v>587</v>
      </c>
      <c r="Z104" s="94" t="s">
        <v>565</v>
      </c>
      <c r="AA104" s="94" t="s">
        <v>566</v>
      </c>
      <c r="AB104" s="94" t="s">
        <v>567</v>
      </c>
      <c r="AC104" s="94" t="s">
        <v>568</v>
      </c>
      <c r="AD104" s="94" t="s">
        <v>569</v>
      </c>
      <c r="AE104" s="94" t="s">
        <v>570</v>
      </c>
      <c r="AF104" s="94" t="s">
        <v>571</v>
      </c>
      <c r="AG104" s="94" t="s">
        <v>572</v>
      </c>
      <c r="AH104" s="94" t="s">
        <v>573</v>
      </c>
      <c r="AI104" s="94" t="s">
        <v>574</v>
      </c>
      <c r="AJ104" s="94" t="s">
        <v>575</v>
      </c>
      <c r="AK104" s="94" t="s">
        <v>576</v>
      </c>
      <c r="AL104" s="94" t="s">
        <v>577</v>
      </c>
      <c r="AM104" s="94" t="s">
        <v>578</v>
      </c>
      <c r="AN104" s="94" t="s">
        <v>579</v>
      </c>
      <c r="AO104" s="94" t="s">
        <v>580</v>
      </c>
      <c r="AP104" s="94" t="s">
        <v>581</v>
      </c>
      <c r="AQ104" s="94" t="s">
        <v>582</v>
      </c>
      <c r="AR104" s="94" t="s">
        <v>584</v>
      </c>
      <c r="AS104" s="94" t="s">
        <v>585</v>
      </c>
      <c r="AT104" s="94" t="s">
        <v>586</v>
      </c>
      <c r="AU104" s="94" t="s">
        <v>589</v>
      </c>
      <c r="AV104" s="94" t="s">
        <v>595</v>
      </c>
      <c r="AW104" s="5"/>
      <c r="AX104" s="5"/>
      <c r="AY104" s="5"/>
      <c r="AZ104" s="6"/>
    </row>
    <row r="105" spans="1:52" x14ac:dyDescent="0.25">
      <c r="A105" s="23" t="s">
        <v>214</v>
      </c>
      <c r="B105" s="36">
        <v>94.1</v>
      </c>
      <c r="C105" s="32">
        <v>230</v>
      </c>
      <c r="D105" s="32">
        <v>223</v>
      </c>
      <c r="E105" s="27">
        <v>12.5</v>
      </c>
      <c r="F105" s="27">
        <v>21</v>
      </c>
      <c r="G105" s="28">
        <v>18</v>
      </c>
      <c r="H105">
        <v>11990</v>
      </c>
      <c r="I105" s="27">
        <v>188</v>
      </c>
      <c r="J105" s="27">
        <v>152</v>
      </c>
      <c r="K105" s="72">
        <v>111799668.39</v>
      </c>
      <c r="L105" s="72">
        <v>972171.03</v>
      </c>
      <c r="M105" s="72">
        <v>1114222.2</v>
      </c>
      <c r="N105">
        <v>96.55</v>
      </c>
      <c r="O105">
        <v>3646.62</v>
      </c>
      <c r="P105" s="72">
        <v>38876573.890000001</v>
      </c>
      <c r="Q105" s="72">
        <v>348668.82</v>
      </c>
      <c r="R105" s="72">
        <v>532354.74</v>
      </c>
      <c r="S105">
        <v>56.93</v>
      </c>
      <c r="T105" s="34">
        <v>75.59</v>
      </c>
      <c r="U105" s="72">
        <v>1681701.62</v>
      </c>
      <c r="V105" s="72">
        <v>423852954111.13</v>
      </c>
      <c r="W105" t="s">
        <v>369</v>
      </c>
      <c r="Y105" s="72"/>
    </row>
    <row r="106" spans="1:52" x14ac:dyDescent="0.25">
      <c r="A106" s="23" t="s">
        <v>219</v>
      </c>
      <c r="B106" s="36">
        <v>119.46599999999999</v>
      </c>
      <c r="C106" s="32">
        <v>255</v>
      </c>
      <c r="D106" s="32">
        <v>244</v>
      </c>
      <c r="E106" s="27">
        <v>14</v>
      </c>
      <c r="F106" s="27">
        <v>24.5</v>
      </c>
      <c r="G106" s="28">
        <v>21</v>
      </c>
      <c r="H106">
        <v>15219.999999999998</v>
      </c>
      <c r="I106" s="27">
        <v>206</v>
      </c>
      <c r="J106" s="27">
        <v>164</v>
      </c>
      <c r="K106" s="72">
        <v>173300000</v>
      </c>
      <c r="L106" s="72">
        <v>1358961.22</v>
      </c>
      <c r="M106" s="72">
        <v>1563670.4</v>
      </c>
      <c r="N106">
        <v>106.7</v>
      </c>
      <c r="O106">
        <v>4634.55</v>
      </c>
      <c r="P106" s="72">
        <v>59422385.259999998</v>
      </c>
      <c r="Q106" s="72">
        <v>487068.73</v>
      </c>
      <c r="R106" s="72">
        <v>743835.58</v>
      </c>
      <c r="S106">
        <v>62.49</v>
      </c>
      <c r="T106" s="34">
        <v>87.6</v>
      </c>
      <c r="U106" s="72">
        <v>2886578.91</v>
      </c>
      <c r="V106" s="72">
        <v>787891075316.32996</v>
      </c>
      <c r="W106" t="s">
        <v>369</v>
      </c>
      <c r="Y106" s="72"/>
    </row>
    <row r="107" spans="1:52" x14ac:dyDescent="0.25">
      <c r="A107" s="23" t="s">
        <v>224</v>
      </c>
      <c r="B107" s="36">
        <v>132.19999999999999</v>
      </c>
      <c r="C107" s="32">
        <v>275</v>
      </c>
      <c r="D107" s="32">
        <v>264</v>
      </c>
      <c r="E107" s="32">
        <v>14</v>
      </c>
      <c r="F107" s="32">
        <v>25</v>
      </c>
      <c r="G107" s="33">
        <v>24</v>
      </c>
      <c r="H107">
        <v>16840</v>
      </c>
      <c r="I107" s="32">
        <v>225</v>
      </c>
      <c r="J107" s="32">
        <v>177</v>
      </c>
      <c r="K107" s="72">
        <v>225900000</v>
      </c>
      <c r="L107" s="72">
        <v>1642996.32</v>
      </c>
      <c r="M107" s="72">
        <v>1880161.21</v>
      </c>
      <c r="N107">
        <v>115.81</v>
      </c>
      <c r="O107">
        <v>5194.4399999999996</v>
      </c>
      <c r="P107" s="72">
        <v>76802557.989999995</v>
      </c>
      <c r="Q107" s="72">
        <v>581837.56000000006</v>
      </c>
      <c r="R107" s="72">
        <v>888336.68</v>
      </c>
      <c r="S107">
        <v>67.52</v>
      </c>
      <c r="T107" s="32">
        <v>92.12</v>
      </c>
      <c r="U107" s="72">
        <v>3364359.56</v>
      </c>
      <c r="V107" s="72">
        <v>1197900000000</v>
      </c>
      <c r="W107" t="s">
        <v>369</v>
      </c>
      <c r="Y107" s="72"/>
    </row>
    <row r="108" spans="1:52" x14ac:dyDescent="0.25">
      <c r="A108" s="23" t="s">
        <v>229</v>
      </c>
      <c r="B108" s="36">
        <v>145.30000000000001</v>
      </c>
      <c r="C108" s="32">
        <v>295</v>
      </c>
      <c r="D108" s="32">
        <v>284</v>
      </c>
      <c r="E108" s="32">
        <v>14.5</v>
      </c>
      <c r="F108" s="32">
        <v>25.5</v>
      </c>
      <c r="G108" s="33">
        <v>24</v>
      </c>
      <c r="H108">
        <v>18520</v>
      </c>
      <c r="I108" s="32">
        <v>244</v>
      </c>
      <c r="J108" s="32">
        <v>196</v>
      </c>
      <c r="K108" s="72">
        <v>288100000</v>
      </c>
      <c r="L108" s="72">
        <v>1953008.36</v>
      </c>
      <c r="M108" s="72">
        <v>2225207.87</v>
      </c>
      <c r="N108">
        <v>124.73</v>
      </c>
      <c r="O108">
        <v>5626.19</v>
      </c>
      <c r="P108" s="72">
        <v>97502375.629999995</v>
      </c>
      <c r="Q108" s="72">
        <v>686636.45</v>
      </c>
      <c r="R108" s="72">
        <v>1047424.54</v>
      </c>
      <c r="S108">
        <v>72.569999999999993</v>
      </c>
      <c r="T108" s="32">
        <v>93.62</v>
      </c>
      <c r="U108" s="72">
        <v>3825228.04</v>
      </c>
      <c r="V108" s="72">
        <v>1767671247727</v>
      </c>
      <c r="W108" t="s">
        <v>369</v>
      </c>
      <c r="Y108" s="72"/>
    </row>
    <row r="109" spans="1:52" x14ac:dyDescent="0.25">
      <c r="A109" s="23" t="s">
        <v>234</v>
      </c>
      <c r="B109" s="36">
        <v>177</v>
      </c>
      <c r="C109" s="32">
        <v>320</v>
      </c>
      <c r="D109" s="32">
        <v>305</v>
      </c>
      <c r="E109" s="32">
        <v>16</v>
      </c>
      <c r="F109" s="32">
        <v>29</v>
      </c>
      <c r="G109" s="33">
        <v>27</v>
      </c>
      <c r="H109">
        <v>22510</v>
      </c>
      <c r="I109" s="32">
        <v>262</v>
      </c>
      <c r="J109" s="32">
        <v>208</v>
      </c>
      <c r="K109" s="72">
        <v>409500000</v>
      </c>
      <c r="L109" s="72">
        <v>2559436.35</v>
      </c>
      <c r="M109" s="72">
        <v>2926673.32</v>
      </c>
      <c r="N109">
        <v>134.88999999999999</v>
      </c>
      <c r="O109">
        <v>6847.77</v>
      </c>
      <c r="P109" s="72">
        <v>137362936.18000001</v>
      </c>
      <c r="Q109" s="72">
        <v>900740.57</v>
      </c>
      <c r="R109" s="72">
        <v>1374410.71</v>
      </c>
      <c r="S109">
        <v>78.12</v>
      </c>
      <c r="T109" s="32">
        <v>105.63</v>
      </c>
      <c r="U109" s="72">
        <v>5983116.0800000001</v>
      </c>
      <c r="V109" s="72">
        <v>2903168561296.8701</v>
      </c>
      <c r="W109" t="s">
        <v>369</v>
      </c>
      <c r="Y109" s="72"/>
    </row>
    <row r="110" spans="1:52" x14ac:dyDescent="0.25">
      <c r="A110" s="23" t="s">
        <v>239</v>
      </c>
      <c r="B110" s="36">
        <v>186</v>
      </c>
      <c r="C110" s="32">
        <v>340</v>
      </c>
      <c r="D110" s="32">
        <v>305</v>
      </c>
      <c r="E110" s="32">
        <v>16</v>
      </c>
      <c r="F110" s="32">
        <v>30.5</v>
      </c>
      <c r="G110" s="33">
        <v>27</v>
      </c>
      <c r="H110">
        <v>23690</v>
      </c>
      <c r="I110" s="32">
        <v>279</v>
      </c>
      <c r="J110" s="32">
        <v>225</v>
      </c>
      <c r="K110" s="72">
        <v>487100000</v>
      </c>
      <c r="L110" s="72">
        <v>2865334.42</v>
      </c>
      <c r="M110" s="72">
        <v>3274009.15</v>
      </c>
      <c r="N110">
        <v>143.38</v>
      </c>
      <c r="O110">
        <v>7224.77</v>
      </c>
      <c r="P110" s="72">
        <v>144461895.09</v>
      </c>
      <c r="Q110" s="72">
        <v>947291.12</v>
      </c>
      <c r="R110" s="72">
        <v>1445267.46</v>
      </c>
      <c r="S110">
        <v>78.08</v>
      </c>
      <c r="T110" s="32">
        <v>108.63</v>
      </c>
      <c r="U110" s="72">
        <v>6791002.5899999999</v>
      </c>
      <c r="V110" s="72">
        <v>3453897319922.5298</v>
      </c>
      <c r="W110" t="s">
        <v>369</v>
      </c>
      <c r="Y110" s="72"/>
    </row>
    <row r="111" spans="1:52" x14ac:dyDescent="0.25">
      <c r="A111" s="23" t="s">
        <v>185</v>
      </c>
      <c r="B111" s="36" t="s">
        <v>120</v>
      </c>
      <c r="C111" s="32">
        <v>120</v>
      </c>
      <c r="D111" s="32">
        <v>106</v>
      </c>
      <c r="E111" s="27">
        <v>12</v>
      </c>
      <c r="F111" s="27">
        <v>20</v>
      </c>
      <c r="G111" s="28">
        <v>12</v>
      </c>
      <c r="H111">
        <v>5320</v>
      </c>
      <c r="I111" s="27">
        <v>80</v>
      </c>
      <c r="J111" s="27">
        <v>56</v>
      </c>
      <c r="K111" s="72">
        <v>11430000</v>
      </c>
      <c r="L111" s="72">
        <v>190400</v>
      </c>
      <c r="M111" s="72">
        <v>235800</v>
      </c>
      <c r="N111">
        <v>46.3</v>
      </c>
      <c r="O111">
        <v>1804</v>
      </c>
      <c r="P111" s="72">
        <v>3992000</v>
      </c>
      <c r="Q111" s="72">
        <v>75310</v>
      </c>
      <c r="R111" s="72">
        <v>116300</v>
      </c>
      <c r="S111">
        <v>27.400000000000002</v>
      </c>
      <c r="T111" s="34">
        <v>66.06</v>
      </c>
      <c r="U111" s="72">
        <v>682099.99999999988</v>
      </c>
      <c r="V111" s="72">
        <v>9930000000</v>
      </c>
      <c r="W111" t="s">
        <v>369</v>
      </c>
      <c r="Y111" s="72"/>
    </row>
    <row r="112" spans="1:52" x14ac:dyDescent="0.25">
      <c r="A112" s="23" t="s">
        <v>288</v>
      </c>
      <c r="B112" s="36">
        <v>349</v>
      </c>
      <c r="C112" s="32">
        <v>1008</v>
      </c>
      <c r="D112" s="32">
        <v>302</v>
      </c>
      <c r="E112" s="32">
        <v>21</v>
      </c>
      <c r="F112" s="32">
        <v>40</v>
      </c>
      <c r="G112" s="33">
        <v>30</v>
      </c>
      <c r="H112">
        <v>44420</v>
      </c>
      <c r="I112" s="32">
        <v>928</v>
      </c>
      <c r="J112" s="32">
        <v>868</v>
      </c>
      <c r="K112" s="72">
        <v>7223000000</v>
      </c>
      <c r="L112" s="72">
        <v>14330000</v>
      </c>
      <c r="M112" s="72">
        <v>16570000</v>
      </c>
      <c r="N112">
        <v>403.2</v>
      </c>
      <c r="O112">
        <v>23500</v>
      </c>
      <c r="P112" s="72">
        <v>184600000</v>
      </c>
      <c r="Q112" s="72">
        <v>1222471.1599999999</v>
      </c>
      <c r="R112" s="72">
        <v>1940000</v>
      </c>
      <c r="S112">
        <v>64.5</v>
      </c>
      <c r="T112" s="32">
        <v>136.1</v>
      </c>
      <c r="U112" s="72">
        <v>17010000</v>
      </c>
      <c r="V112" s="72">
        <v>43020000000000</v>
      </c>
      <c r="W112" t="s">
        <v>369</v>
      </c>
      <c r="Y112" s="72"/>
    </row>
    <row r="113" spans="1:25" x14ac:dyDescent="0.25">
      <c r="A113" s="23" t="s">
        <v>190</v>
      </c>
      <c r="B113" s="24" t="s">
        <v>124</v>
      </c>
      <c r="C113" s="32">
        <v>140</v>
      </c>
      <c r="D113" s="32">
        <v>126</v>
      </c>
      <c r="E113" s="27">
        <v>12.5</v>
      </c>
      <c r="F113" s="27">
        <v>21</v>
      </c>
      <c r="G113" s="28">
        <v>12</v>
      </c>
      <c r="H113">
        <v>6640.0000000000009</v>
      </c>
      <c r="I113" s="27">
        <v>98</v>
      </c>
      <c r="J113" s="27">
        <v>74</v>
      </c>
      <c r="K113" s="72">
        <v>20180000</v>
      </c>
      <c r="L113" s="72">
        <v>288200</v>
      </c>
      <c r="M113" s="72">
        <v>350600</v>
      </c>
      <c r="N113">
        <v>55.099999999999994</v>
      </c>
      <c r="O113">
        <v>2115</v>
      </c>
      <c r="P113" s="72">
        <v>7028000</v>
      </c>
      <c r="Q113" s="72">
        <v>111600</v>
      </c>
      <c r="R113" s="72">
        <v>171600</v>
      </c>
      <c r="S113">
        <v>32.5</v>
      </c>
      <c r="T113" s="34">
        <v>68.56</v>
      </c>
      <c r="U113" s="72">
        <v>916600</v>
      </c>
      <c r="V113" s="72">
        <v>24790000000</v>
      </c>
      <c r="W113" t="s">
        <v>369</v>
      </c>
      <c r="Y113" s="72"/>
    </row>
    <row r="114" spans="1:25" x14ac:dyDescent="0.25">
      <c r="A114" s="23" t="s">
        <v>195</v>
      </c>
      <c r="B114" s="36" t="s">
        <v>128</v>
      </c>
      <c r="C114" s="32">
        <v>160</v>
      </c>
      <c r="D114" s="32">
        <v>146</v>
      </c>
      <c r="E114" s="27">
        <v>13</v>
      </c>
      <c r="F114" s="27">
        <v>22</v>
      </c>
      <c r="G114" s="28">
        <v>12</v>
      </c>
      <c r="H114">
        <v>8059.9999999999991</v>
      </c>
      <c r="I114" s="27">
        <v>116</v>
      </c>
      <c r="J114" s="27">
        <v>92</v>
      </c>
      <c r="K114" s="72">
        <v>32910000</v>
      </c>
      <c r="L114" s="72">
        <v>411400</v>
      </c>
      <c r="M114" s="72">
        <v>493800</v>
      </c>
      <c r="N114">
        <v>63.9</v>
      </c>
      <c r="O114">
        <v>2446</v>
      </c>
      <c r="P114" s="72">
        <v>11440000</v>
      </c>
      <c r="Q114" s="72">
        <v>156800</v>
      </c>
      <c r="R114" s="72">
        <v>240500</v>
      </c>
      <c r="S114">
        <v>37.700000000000003</v>
      </c>
      <c r="T114" s="34">
        <v>71.06</v>
      </c>
      <c r="U114" s="72">
        <v>1200000</v>
      </c>
      <c r="V114" s="72">
        <v>54330000000</v>
      </c>
      <c r="W114" t="s">
        <v>369</v>
      </c>
      <c r="Y114" s="72"/>
    </row>
    <row r="115" spans="1:25" x14ac:dyDescent="0.25">
      <c r="A115" s="23" t="s">
        <v>200</v>
      </c>
      <c r="B115" s="36" t="s">
        <v>132</v>
      </c>
      <c r="C115" s="32">
        <v>180</v>
      </c>
      <c r="D115" s="32">
        <v>166</v>
      </c>
      <c r="E115" s="27">
        <v>14</v>
      </c>
      <c r="F115" s="27">
        <v>23</v>
      </c>
      <c r="G115" s="28">
        <v>15</v>
      </c>
      <c r="H115">
        <v>9710</v>
      </c>
      <c r="I115" s="27">
        <v>134</v>
      </c>
      <c r="J115" s="27">
        <v>104</v>
      </c>
      <c r="K115" s="72">
        <v>50980000</v>
      </c>
      <c r="L115" s="72">
        <v>566473.88</v>
      </c>
      <c r="M115" s="72">
        <v>674600</v>
      </c>
      <c r="N115">
        <v>72.5</v>
      </c>
      <c r="O115">
        <v>3081</v>
      </c>
      <c r="P115" s="72">
        <v>17590000</v>
      </c>
      <c r="Q115" s="72">
        <v>211900</v>
      </c>
      <c r="R115" s="72">
        <v>325500</v>
      </c>
      <c r="S115">
        <v>42.599999999999994</v>
      </c>
      <c r="T115" s="34">
        <v>77.569999999999993</v>
      </c>
      <c r="U115" s="72">
        <v>1624000</v>
      </c>
      <c r="V115" s="72">
        <v>108100000000</v>
      </c>
      <c r="W115" t="s">
        <v>369</v>
      </c>
      <c r="Y115" s="72"/>
    </row>
    <row r="116" spans="1:25" x14ac:dyDescent="0.25">
      <c r="A116" s="23" t="s">
        <v>205</v>
      </c>
      <c r="B116" s="36" t="s">
        <v>136</v>
      </c>
      <c r="C116" s="32">
        <v>200</v>
      </c>
      <c r="D116" s="32">
        <v>186</v>
      </c>
      <c r="E116" s="27">
        <v>14.5</v>
      </c>
      <c r="F116" s="27">
        <v>24</v>
      </c>
      <c r="G116" s="28">
        <v>15</v>
      </c>
      <c r="H116">
        <v>11330</v>
      </c>
      <c r="I116" s="27">
        <v>152</v>
      </c>
      <c r="J116" s="27">
        <v>122</v>
      </c>
      <c r="K116" s="72">
        <v>74830000</v>
      </c>
      <c r="L116" s="72">
        <v>748300</v>
      </c>
      <c r="M116" s="72">
        <v>883400</v>
      </c>
      <c r="N116">
        <v>81.300000000000011</v>
      </c>
      <c r="O116">
        <v>3465</v>
      </c>
      <c r="P116" s="72">
        <v>25800000</v>
      </c>
      <c r="Q116" s="72">
        <v>277400</v>
      </c>
      <c r="R116" s="72">
        <v>425200</v>
      </c>
      <c r="S116">
        <v>47.699999999999996</v>
      </c>
      <c r="T116" s="34">
        <v>80.069999999999993</v>
      </c>
      <c r="U116" s="72">
        <v>2033000</v>
      </c>
      <c r="V116" s="72">
        <v>199300000000</v>
      </c>
      <c r="W116" t="s">
        <v>369</v>
      </c>
      <c r="Y116" s="72"/>
    </row>
    <row r="117" spans="1:25" x14ac:dyDescent="0.25">
      <c r="A117" s="23" t="s">
        <v>210</v>
      </c>
      <c r="B117" s="36">
        <v>103</v>
      </c>
      <c r="C117" s="32">
        <v>220</v>
      </c>
      <c r="D117" s="32">
        <v>206</v>
      </c>
      <c r="E117" s="27">
        <v>15</v>
      </c>
      <c r="F117" s="27">
        <v>25</v>
      </c>
      <c r="G117" s="28">
        <v>18</v>
      </c>
      <c r="H117">
        <v>13130.000000000002</v>
      </c>
      <c r="I117" s="27">
        <v>170</v>
      </c>
      <c r="J117" s="27">
        <v>134</v>
      </c>
      <c r="K117" s="72">
        <v>106400000</v>
      </c>
      <c r="L117" s="72">
        <v>967400</v>
      </c>
      <c r="M117" s="72">
        <v>1135000</v>
      </c>
      <c r="N117">
        <v>90</v>
      </c>
      <c r="O117">
        <v>4103</v>
      </c>
      <c r="P117" s="72">
        <v>36510000</v>
      </c>
      <c r="Q117" s="72">
        <v>354486.53</v>
      </c>
      <c r="R117" s="72">
        <v>543200</v>
      </c>
      <c r="S117">
        <v>52.699999999999996</v>
      </c>
      <c r="T117" s="34">
        <v>86.09</v>
      </c>
      <c r="U117" s="72">
        <v>2594000</v>
      </c>
      <c r="V117" s="72">
        <v>346300000000</v>
      </c>
      <c r="W117" t="s">
        <v>369</v>
      </c>
      <c r="Y117" s="72"/>
    </row>
    <row r="118" spans="1:25" x14ac:dyDescent="0.25">
      <c r="A118" s="23" t="s">
        <v>215</v>
      </c>
      <c r="B118" s="36">
        <v>117</v>
      </c>
      <c r="C118" s="32">
        <v>240</v>
      </c>
      <c r="D118" s="32">
        <v>226</v>
      </c>
      <c r="E118" s="27">
        <v>15.5</v>
      </c>
      <c r="F118" s="27">
        <v>26</v>
      </c>
      <c r="G118" s="28">
        <v>18</v>
      </c>
      <c r="H118">
        <v>14940</v>
      </c>
      <c r="I118" s="27">
        <v>188</v>
      </c>
      <c r="J118" s="27">
        <v>152</v>
      </c>
      <c r="K118" s="72">
        <v>146000000</v>
      </c>
      <c r="L118" s="72">
        <v>1217068.76</v>
      </c>
      <c r="M118" s="72">
        <v>1419000</v>
      </c>
      <c r="N118">
        <v>98.9</v>
      </c>
      <c r="O118">
        <v>4531</v>
      </c>
      <c r="P118" s="72">
        <v>50120000</v>
      </c>
      <c r="Q118" s="72">
        <v>443500</v>
      </c>
      <c r="R118" s="72">
        <v>678600</v>
      </c>
      <c r="S118">
        <v>57.9</v>
      </c>
      <c r="T118" s="34">
        <v>88.59</v>
      </c>
      <c r="U118" s="72">
        <v>3153000</v>
      </c>
      <c r="V118" s="72">
        <v>572700000000</v>
      </c>
      <c r="W118" t="s">
        <v>369</v>
      </c>
      <c r="Y118" s="72"/>
    </row>
    <row r="119" spans="1:25" x14ac:dyDescent="0.25">
      <c r="A119" s="23" t="s">
        <v>220</v>
      </c>
      <c r="B119" s="36">
        <v>157</v>
      </c>
      <c r="C119" s="32">
        <v>270</v>
      </c>
      <c r="D119" s="32">
        <v>248</v>
      </c>
      <c r="E119" s="27">
        <v>18</v>
      </c>
      <c r="F119" s="27">
        <v>32</v>
      </c>
      <c r="G119" s="28">
        <v>21</v>
      </c>
      <c r="H119">
        <v>19960</v>
      </c>
      <c r="I119" s="27">
        <v>206</v>
      </c>
      <c r="J119" s="27">
        <v>164</v>
      </c>
      <c r="K119" s="72">
        <v>242900000</v>
      </c>
      <c r="L119" s="72">
        <v>1799221.71</v>
      </c>
      <c r="M119" s="72">
        <v>2117000</v>
      </c>
      <c r="N119">
        <v>110.3</v>
      </c>
      <c r="O119">
        <v>6007</v>
      </c>
      <c r="P119" s="72">
        <v>81530000</v>
      </c>
      <c r="Q119" s="72">
        <v>657469.38</v>
      </c>
      <c r="R119" s="72">
        <v>1006000</v>
      </c>
      <c r="S119">
        <v>63.9</v>
      </c>
      <c r="T119" s="34">
        <v>106.6</v>
      </c>
      <c r="U119" s="72">
        <v>6279000</v>
      </c>
      <c r="V119" s="72">
        <v>1152000000000</v>
      </c>
      <c r="W119" t="s">
        <v>369</v>
      </c>
      <c r="Y119" s="72"/>
    </row>
    <row r="120" spans="1:25" x14ac:dyDescent="0.25">
      <c r="A120" s="52" t="s">
        <v>225</v>
      </c>
      <c r="B120" s="53">
        <v>172</v>
      </c>
      <c r="C120" s="26">
        <v>290</v>
      </c>
      <c r="D120" s="26">
        <v>268</v>
      </c>
      <c r="E120" s="26">
        <v>18</v>
      </c>
      <c r="F120" s="26">
        <v>32.5</v>
      </c>
      <c r="G120" s="54">
        <v>24</v>
      </c>
      <c r="H120">
        <v>21960</v>
      </c>
      <c r="I120" s="26">
        <v>225</v>
      </c>
      <c r="J120" s="26">
        <v>177</v>
      </c>
      <c r="K120" s="72">
        <v>313100000</v>
      </c>
      <c r="L120" s="72">
        <v>2159092.4900000002</v>
      </c>
      <c r="M120" s="72">
        <v>2524000</v>
      </c>
      <c r="N120">
        <v>119.39999999999999</v>
      </c>
      <c r="O120">
        <v>6689</v>
      </c>
      <c r="P120" s="72">
        <v>104500000</v>
      </c>
      <c r="Q120" s="72">
        <v>779700</v>
      </c>
      <c r="R120" s="72">
        <v>1192000</v>
      </c>
      <c r="S120">
        <v>69</v>
      </c>
      <c r="T120" s="31">
        <v>111.1</v>
      </c>
      <c r="U120" s="72">
        <v>7190000</v>
      </c>
      <c r="V120" s="72">
        <v>1728000000000</v>
      </c>
      <c r="W120" t="s">
        <v>369</v>
      </c>
      <c r="Y120" s="72"/>
    </row>
    <row r="121" spans="1:25" x14ac:dyDescent="0.25">
      <c r="A121" s="52" t="s">
        <v>230</v>
      </c>
      <c r="B121" s="53">
        <v>189</v>
      </c>
      <c r="C121" s="26">
        <v>310</v>
      </c>
      <c r="D121" s="26">
        <v>288</v>
      </c>
      <c r="E121" s="26">
        <v>18.5</v>
      </c>
      <c r="F121" s="26">
        <v>33</v>
      </c>
      <c r="G121" s="54">
        <v>24</v>
      </c>
      <c r="H121">
        <v>24020</v>
      </c>
      <c r="I121" s="26">
        <v>244</v>
      </c>
      <c r="J121" s="26">
        <v>196</v>
      </c>
      <c r="K121" s="72">
        <v>395500000</v>
      </c>
      <c r="L121" s="72">
        <v>2551439.94</v>
      </c>
      <c r="M121" s="72">
        <v>2966000</v>
      </c>
      <c r="N121">
        <v>128.30000000000001</v>
      </c>
      <c r="O121">
        <v>7203</v>
      </c>
      <c r="P121" s="72">
        <v>131600000</v>
      </c>
      <c r="Q121" s="72">
        <v>914100</v>
      </c>
      <c r="R121" s="72">
        <v>1397000</v>
      </c>
      <c r="S121">
        <v>74</v>
      </c>
      <c r="T121" s="31">
        <v>112.6</v>
      </c>
      <c r="U121" s="72">
        <v>8073000</v>
      </c>
      <c r="V121" s="72">
        <v>2520000000000</v>
      </c>
      <c r="W121" t="s">
        <v>369</v>
      </c>
      <c r="Y121" s="72"/>
    </row>
    <row r="122" spans="1:25" x14ac:dyDescent="0.25">
      <c r="A122" s="52" t="s">
        <v>235</v>
      </c>
      <c r="B122" s="53">
        <v>238</v>
      </c>
      <c r="C122" s="26">
        <v>340</v>
      </c>
      <c r="D122" s="26">
        <v>310</v>
      </c>
      <c r="E122" s="26">
        <v>21</v>
      </c>
      <c r="F122" s="26">
        <v>39</v>
      </c>
      <c r="G122" s="54">
        <v>27</v>
      </c>
      <c r="H122">
        <v>30310.000000000004</v>
      </c>
      <c r="I122" s="26">
        <v>262</v>
      </c>
      <c r="J122" s="26">
        <v>208</v>
      </c>
      <c r="K122" s="72">
        <v>592000000</v>
      </c>
      <c r="L122" s="72">
        <v>3482410.68</v>
      </c>
      <c r="M122" s="72">
        <v>4078000</v>
      </c>
      <c r="N122">
        <v>139.80000000000001</v>
      </c>
      <c r="O122">
        <v>9053</v>
      </c>
      <c r="P122" s="72">
        <v>194000000</v>
      </c>
      <c r="Q122" s="72">
        <v>1251810.75</v>
      </c>
      <c r="R122" s="72">
        <v>1913000</v>
      </c>
      <c r="S122">
        <v>80</v>
      </c>
      <c r="T122" s="31">
        <v>130.6</v>
      </c>
      <c r="U122" s="72">
        <v>14080000</v>
      </c>
      <c r="V122" s="72">
        <v>4386000000000</v>
      </c>
      <c r="W122" t="s">
        <v>369</v>
      </c>
      <c r="Y122" s="72"/>
    </row>
    <row r="123" spans="1:25" x14ac:dyDescent="0.25">
      <c r="A123" s="52" t="s">
        <v>240</v>
      </c>
      <c r="B123" s="24">
        <v>245</v>
      </c>
      <c r="C123" s="26">
        <v>359</v>
      </c>
      <c r="D123" s="26">
        <v>309</v>
      </c>
      <c r="E123" s="26">
        <v>21</v>
      </c>
      <c r="F123" s="26">
        <v>40</v>
      </c>
      <c r="G123" s="54">
        <v>27</v>
      </c>
      <c r="H123">
        <v>31200</v>
      </c>
      <c r="I123" s="26">
        <v>279</v>
      </c>
      <c r="J123" s="26">
        <v>225</v>
      </c>
      <c r="K123" s="72">
        <v>681300000</v>
      </c>
      <c r="L123" s="72">
        <v>3795811.55</v>
      </c>
      <c r="M123" s="72">
        <v>4435000</v>
      </c>
      <c r="N123">
        <v>147.79999999999998</v>
      </c>
      <c r="O123">
        <v>9485</v>
      </c>
      <c r="P123" s="72">
        <v>197100000</v>
      </c>
      <c r="Q123" s="72">
        <v>1275683.79</v>
      </c>
      <c r="R123" s="72">
        <v>1951000</v>
      </c>
      <c r="S123">
        <v>79.5</v>
      </c>
      <c r="T123" s="31">
        <v>132.6</v>
      </c>
      <c r="U123" s="72">
        <v>15010000</v>
      </c>
      <c r="V123" s="72">
        <v>5004000000000</v>
      </c>
      <c r="W123" t="s">
        <v>369</v>
      </c>
      <c r="Y123" s="72"/>
    </row>
    <row r="124" spans="1:25" x14ac:dyDescent="0.25">
      <c r="A124" s="23" t="s">
        <v>244</v>
      </c>
      <c r="B124" s="36">
        <v>248</v>
      </c>
      <c r="C124" s="32">
        <v>377</v>
      </c>
      <c r="D124" s="32">
        <v>309</v>
      </c>
      <c r="E124" s="32">
        <v>21</v>
      </c>
      <c r="F124" s="32">
        <v>40</v>
      </c>
      <c r="G124" s="33">
        <v>27</v>
      </c>
      <c r="H124">
        <v>31580</v>
      </c>
      <c r="I124" s="32">
        <v>297</v>
      </c>
      <c r="J124" s="32">
        <v>243</v>
      </c>
      <c r="K124" s="72">
        <v>763700000</v>
      </c>
      <c r="L124" s="72">
        <v>4051546.08</v>
      </c>
      <c r="M124" s="72">
        <v>4718000</v>
      </c>
      <c r="N124">
        <v>155.5</v>
      </c>
      <c r="O124">
        <v>9863</v>
      </c>
      <c r="P124" s="72">
        <v>197100000</v>
      </c>
      <c r="Q124" s="72">
        <v>1275773.7</v>
      </c>
      <c r="R124" s="72">
        <v>1953000</v>
      </c>
      <c r="S124">
        <v>79</v>
      </c>
      <c r="T124" s="32">
        <v>132.6</v>
      </c>
      <c r="U124" s="72">
        <v>15060000</v>
      </c>
      <c r="V124" s="72">
        <v>5584000000000</v>
      </c>
      <c r="W124" t="s">
        <v>369</v>
      </c>
      <c r="Y124" s="72"/>
    </row>
    <row r="125" spans="1:25" x14ac:dyDescent="0.25">
      <c r="A125" s="23" t="s">
        <v>248</v>
      </c>
      <c r="B125" s="36">
        <v>250</v>
      </c>
      <c r="C125" s="32">
        <v>395</v>
      </c>
      <c r="D125" s="32">
        <v>308</v>
      </c>
      <c r="E125" s="32">
        <v>21</v>
      </c>
      <c r="F125" s="32">
        <v>40</v>
      </c>
      <c r="G125" s="33">
        <v>27</v>
      </c>
      <c r="H125">
        <v>31880</v>
      </c>
      <c r="I125" s="32">
        <v>315</v>
      </c>
      <c r="J125" s="32">
        <v>261</v>
      </c>
      <c r="K125" s="72">
        <v>848700000</v>
      </c>
      <c r="L125" s="72">
        <v>4297062.99</v>
      </c>
      <c r="M125" s="72">
        <v>4989000</v>
      </c>
      <c r="N125">
        <v>163.19999999999999</v>
      </c>
      <c r="O125">
        <v>10240</v>
      </c>
      <c r="P125" s="72">
        <v>195200000</v>
      </c>
      <c r="Q125" s="72">
        <v>1267645.99</v>
      </c>
      <c r="R125" s="72">
        <v>1942000</v>
      </c>
      <c r="S125">
        <v>78.3</v>
      </c>
      <c r="T125" s="32">
        <v>132.6</v>
      </c>
      <c r="U125" s="72">
        <v>15070000</v>
      </c>
      <c r="V125" s="72">
        <v>6137000000000</v>
      </c>
      <c r="W125" t="s">
        <v>369</v>
      </c>
      <c r="Y125" s="72"/>
    </row>
    <row r="126" spans="1:25" x14ac:dyDescent="0.25">
      <c r="A126" s="23" t="s">
        <v>252</v>
      </c>
      <c r="B126" s="36">
        <v>256</v>
      </c>
      <c r="C126" s="32">
        <v>432</v>
      </c>
      <c r="D126" s="32">
        <v>307</v>
      </c>
      <c r="E126" s="32">
        <v>21</v>
      </c>
      <c r="F126" s="32">
        <v>40</v>
      </c>
      <c r="G126" s="33">
        <v>27</v>
      </c>
      <c r="H126">
        <v>32580</v>
      </c>
      <c r="I126" s="32">
        <v>352</v>
      </c>
      <c r="J126" s="32">
        <v>298</v>
      </c>
      <c r="K126" s="72">
        <v>1041000000</v>
      </c>
      <c r="L126" s="72">
        <v>4820326.51</v>
      </c>
      <c r="M126" s="72">
        <v>5571000</v>
      </c>
      <c r="N126">
        <v>178.79999999999998</v>
      </c>
      <c r="O126">
        <v>11020</v>
      </c>
      <c r="P126" s="72">
        <v>193400000</v>
      </c>
      <c r="Q126" s="72">
        <v>1260000</v>
      </c>
      <c r="R126" s="72">
        <v>1934000</v>
      </c>
      <c r="S126">
        <v>77</v>
      </c>
      <c r="T126" s="32">
        <v>132.6</v>
      </c>
      <c r="U126" s="72">
        <v>15150000</v>
      </c>
      <c r="V126" s="72">
        <v>7410000000000</v>
      </c>
      <c r="W126" t="s">
        <v>369</v>
      </c>
      <c r="Y126" s="72"/>
    </row>
    <row r="127" spans="1:25" x14ac:dyDescent="0.25">
      <c r="A127" s="23" t="s">
        <v>256</v>
      </c>
      <c r="B127" s="36">
        <v>263</v>
      </c>
      <c r="C127" s="32">
        <v>478</v>
      </c>
      <c r="D127" s="32">
        <v>307</v>
      </c>
      <c r="E127" s="32">
        <v>21</v>
      </c>
      <c r="F127" s="32">
        <v>40</v>
      </c>
      <c r="G127" s="33">
        <v>27</v>
      </c>
      <c r="H127">
        <v>33540</v>
      </c>
      <c r="I127" s="32">
        <v>398</v>
      </c>
      <c r="J127" s="32">
        <v>344</v>
      </c>
      <c r="K127" s="72">
        <v>1315000000</v>
      </c>
      <c r="L127" s="72">
        <v>5501434.7999999998</v>
      </c>
      <c r="M127" s="72">
        <v>6331000</v>
      </c>
      <c r="N127">
        <v>198</v>
      </c>
      <c r="O127">
        <v>11980</v>
      </c>
      <c r="P127" s="72">
        <v>193400000</v>
      </c>
      <c r="Q127" s="72">
        <v>1260000</v>
      </c>
      <c r="R127" s="72">
        <v>1939000</v>
      </c>
      <c r="S127">
        <v>75.900000000000006</v>
      </c>
      <c r="T127" s="32">
        <v>132.6</v>
      </c>
      <c r="U127" s="72">
        <v>15290000</v>
      </c>
      <c r="V127" s="72">
        <v>9251000000000</v>
      </c>
      <c r="W127" t="s">
        <v>369</v>
      </c>
      <c r="Y127" s="72"/>
    </row>
    <row r="128" spans="1:25" x14ac:dyDescent="0.25">
      <c r="A128" s="52" t="s">
        <v>260</v>
      </c>
      <c r="B128" s="55">
        <v>270</v>
      </c>
      <c r="C128" s="26">
        <v>524</v>
      </c>
      <c r="D128" s="26">
        <v>306</v>
      </c>
      <c r="E128" s="26">
        <v>21</v>
      </c>
      <c r="F128" s="26">
        <v>40</v>
      </c>
      <c r="G128" s="54">
        <v>27</v>
      </c>
      <c r="H128">
        <v>34430</v>
      </c>
      <c r="I128" s="26">
        <v>444</v>
      </c>
      <c r="J128" s="26">
        <v>390</v>
      </c>
      <c r="K128" s="72">
        <v>1619000000</v>
      </c>
      <c r="L128" s="72">
        <v>6180491.7300000004</v>
      </c>
      <c r="M128" s="72">
        <v>7094000</v>
      </c>
      <c r="N128">
        <v>216.9</v>
      </c>
      <c r="O128">
        <v>12950</v>
      </c>
      <c r="P128" s="72">
        <v>191500000</v>
      </c>
      <c r="Q128" s="72">
        <v>1251941.6000000001</v>
      </c>
      <c r="R128" s="72">
        <v>1932000</v>
      </c>
      <c r="S128">
        <v>74.599999999999994</v>
      </c>
      <c r="T128" s="31">
        <v>132.6</v>
      </c>
      <c r="U128" s="72">
        <v>15390000</v>
      </c>
      <c r="V128" s="72">
        <v>11190000000000</v>
      </c>
      <c r="W128" t="s">
        <v>369</v>
      </c>
      <c r="Y128" s="72"/>
    </row>
    <row r="129" spans="1:25" x14ac:dyDescent="0.25">
      <c r="A129" s="23" t="s">
        <v>264</v>
      </c>
      <c r="B129" s="24">
        <v>278</v>
      </c>
      <c r="C129" s="32">
        <v>572</v>
      </c>
      <c r="D129" s="32">
        <v>306</v>
      </c>
      <c r="E129" s="32">
        <v>21</v>
      </c>
      <c r="F129" s="32">
        <v>40</v>
      </c>
      <c r="G129" s="33">
        <v>27</v>
      </c>
      <c r="H129">
        <v>35440</v>
      </c>
      <c r="I129" s="32">
        <v>492</v>
      </c>
      <c r="J129" s="32">
        <v>438</v>
      </c>
      <c r="K129" s="72">
        <v>1980000000</v>
      </c>
      <c r="L129" s="72">
        <v>6922513.7599999998</v>
      </c>
      <c r="M129" s="72">
        <v>7933000</v>
      </c>
      <c r="N129">
        <v>236.4</v>
      </c>
      <c r="O129">
        <v>13960</v>
      </c>
      <c r="P129" s="72">
        <v>191600000</v>
      </c>
      <c r="Q129" s="72">
        <v>1252183.72</v>
      </c>
      <c r="R129" s="72">
        <v>1937000</v>
      </c>
      <c r="S129">
        <v>73.5</v>
      </c>
      <c r="T129" s="32">
        <v>132.6</v>
      </c>
      <c r="U129" s="72">
        <v>15540000</v>
      </c>
      <c r="V129" s="72">
        <v>13520000000000</v>
      </c>
      <c r="W129" t="s">
        <v>369</v>
      </c>
      <c r="Y129" s="72"/>
    </row>
    <row r="130" spans="1:25" x14ac:dyDescent="0.25">
      <c r="A130" s="23" t="s">
        <v>268</v>
      </c>
      <c r="B130" s="36">
        <v>285</v>
      </c>
      <c r="C130" s="32">
        <v>620</v>
      </c>
      <c r="D130" s="32">
        <v>305</v>
      </c>
      <c r="E130" s="32">
        <v>21</v>
      </c>
      <c r="F130" s="32">
        <v>40</v>
      </c>
      <c r="G130" s="33">
        <v>27</v>
      </c>
      <c r="H130">
        <v>36370</v>
      </c>
      <c r="I130" s="32">
        <v>540</v>
      </c>
      <c r="J130" s="32">
        <v>486</v>
      </c>
      <c r="K130" s="72">
        <v>2374000000</v>
      </c>
      <c r="L130" s="72">
        <v>7660000</v>
      </c>
      <c r="M130" s="72">
        <v>8772000</v>
      </c>
      <c r="N130">
        <v>255.5</v>
      </c>
      <c r="O130">
        <v>14969.999999999998</v>
      </c>
      <c r="P130" s="72">
        <v>189800000</v>
      </c>
      <c r="Q130" s="72">
        <v>1244292.1000000001</v>
      </c>
      <c r="R130" s="72">
        <v>1930000</v>
      </c>
      <c r="S130">
        <v>72.2</v>
      </c>
      <c r="T130" s="32">
        <v>132.6</v>
      </c>
      <c r="U130" s="72">
        <v>15640000</v>
      </c>
      <c r="V130" s="72">
        <v>15910000000000</v>
      </c>
      <c r="W130" t="s">
        <v>369</v>
      </c>
      <c r="Y130" s="72"/>
    </row>
    <row r="131" spans="1:25" x14ac:dyDescent="0.25">
      <c r="A131" s="23" t="s">
        <v>272</v>
      </c>
      <c r="B131" s="36">
        <v>293</v>
      </c>
      <c r="C131" s="32">
        <v>668</v>
      </c>
      <c r="D131" s="32">
        <v>305</v>
      </c>
      <c r="E131" s="32">
        <v>21</v>
      </c>
      <c r="F131" s="32">
        <v>40</v>
      </c>
      <c r="G131" s="33">
        <v>27</v>
      </c>
      <c r="H131">
        <v>37370</v>
      </c>
      <c r="I131" s="32">
        <v>588</v>
      </c>
      <c r="J131" s="32">
        <v>534</v>
      </c>
      <c r="K131" s="72">
        <v>2817000000</v>
      </c>
      <c r="L131" s="72">
        <v>8433158.5500000007</v>
      </c>
      <c r="M131" s="72">
        <v>9657000</v>
      </c>
      <c r="N131">
        <v>274.5</v>
      </c>
      <c r="O131">
        <v>15969.999999999998</v>
      </c>
      <c r="P131" s="72">
        <v>189800000</v>
      </c>
      <c r="Q131" s="72">
        <v>1244535.01</v>
      </c>
      <c r="R131" s="72">
        <v>1936000</v>
      </c>
      <c r="S131">
        <v>71.3</v>
      </c>
      <c r="T131" s="32">
        <v>132.6</v>
      </c>
      <c r="U131" s="72">
        <v>15790000</v>
      </c>
      <c r="V131" s="72">
        <v>18650000000000</v>
      </c>
      <c r="W131" t="s">
        <v>369</v>
      </c>
      <c r="Y131" s="72"/>
    </row>
    <row r="132" spans="1:25" x14ac:dyDescent="0.25">
      <c r="A132" s="23" t="s">
        <v>276</v>
      </c>
      <c r="B132" s="36">
        <v>301</v>
      </c>
      <c r="C132" s="32">
        <v>716</v>
      </c>
      <c r="D132" s="32">
        <v>304</v>
      </c>
      <c r="E132" s="32">
        <v>21</v>
      </c>
      <c r="F132" s="32">
        <v>40</v>
      </c>
      <c r="G132" s="33">
        <v>27</v>
      </c>
      <c r="H132">
        <v>38300</v>
      </c>
      <c r="I132" s="32">
        <v>636</v>
      </c>
      <c r="J132" s="32">
        <v>582</v>
      </c>
      <c r="K132" s="72">
        <v>3293000000</v>
      </c>
      <c r="L132" s="72">
        <v>9197708.4499999993</v>
      </c>
      <c r="M132" s="72">
        <v>10540000</v>
      </c>
      <c r="N132">
        <v>293.2</v>
      </c>
      <c r="O132">
        <v>16980</v>
      </c>
      <c r="P132" s="72">
        <v>188000000</v>
      </c>
      <c r="Q132" s="72">
        <v>1240000</v>
      </c>
      <c r="R132" s="72">
        <v>1929000</v>
      </c>
      <c r="S132">
        <v>70.099999999999994</v>
      </c>
      <c r="T132" s="32">
        <v>132.6</v>
      </c>
      <c r="U132" s="72">
        <v>15890000</v>
      </c>
      <c r="V132" s="72">
        <v>21400000000000</v>
      </c>
      <c r="W132" t="s">
        <v>369</v>
      </c>
      <c r="Y132" s="72"/>
    </row>
    <row r="133" spans="1:25" x14ac:dyDescent="0.25">
      <c r="A133" s="52" t="s">
        <v>280</v>
      </c>
      <c r="B133" s="55">
        <v>317</v>
      </c>
      <c r="C133" s="26">
        <v>814</v>
      </c>
      <c r="D133" s="26">
        <v>303</v>
      </c>
      <c r="E133" s="26">
        <v>21</v>
      </c>
      <c r="F133" s="26">
        <v>40</v>
      </c>
      <c r="G133" s="54">
        <v>30</v>
      </c>
      <c r="H133">
        <v>40430</v>
      </c>
      <c r="I133" s="26">
        <v>734</v>
      </c>
      <c r="J133" s="26">
        <v>674</v>
      </c>
      <c r="K133" s="72">
        <v>4426000000</v>
      </c>
      <c r="L133" s="72">
        <v>10870000</v>
      </c>
      <c r="M133" s="72">
        <v>12490000</v>
      </c>
      <c r="N133">
        <v>330.90000000000003</v>
      </c>
      <c r="O133">
        <v>19430</v>
      </c>
      <c r="P133" s="72">
        <v>186300000</v>
      </c>
      <c r="Q133" s="72">
        <v>1230000</v>
      </c>
      <c r="R133" s="72">
        <v>1930000</v>
      </c>
      <c r="S133">
        <v>67.900000000000006</v>
      </c>
      <c r="T133" s="27">
        <v>136.1</v>
      </c>
      <c r="U133" s="72">
        <v>16460000</v>
      </c>
      <c r="V133" s="72">
        <v>27780000000000</v>
      </c>
      <c r="W133" t="s">
        <v>369</v>
      </c>
      <c r="Y133" s="72"/>
    </row>
    <row r="134" spans="1:25" x14ac:dyDescent="0.25">
      <c r="A134" s="23" t="s">
        <v>284</v>
      </c>
      <c r="B134" s="36">
        <v>333</v>
      </c>
      <c r="C134" s="32">
        <v>910</v>
      </c>
      <c r="D134" s="32">
        <v>302</v>
      </c>
      <c r="E134" s="32">
        <v>21</v>
      </c>
      <c r="F134" s="32">
        <v>40</v>
      </c>
      <c r="G134" s="33">
        <v>30</v>
      </c>
      <c r="H134">
        <v>42360</v>
      </c>
      <c r="I134" s="32">
        <v>830</v>
      </c>
      <c r="J134" s="32">
        <v>770</v>
      </c>
      <c r="K134" s="72">
        <v>5704000000</v>
      </c>
      <c r="L134" s="72">
        <v>12540000</v>
      </c>
      <c r="M134" s="72">
        <v>14440000</v>
      </c>
      <c r="N134">
        <v>367</v>
      </c>
      <c r="O134">
        <v>21440</v>
      </c>
      <c r="P134" s="72">
        <v>184500000</v>
      </c>
      <c r="Q134" s="72">
        <v>1220000</v>
      </c>
      <c r="R134" s="72">
        <v>1929000</v>
      </c>
      <c r="S134">
        <v>66</v>
      </c>
      <c r="T134" s="32">
        <v>136.1</v>
      </c>
      <c r="U134" s="72">
        <v>16710000</v>
      </c>
      <c r="V134" s="72">
        <v>34750000000000</v>
      </c>
      <c r="W134" t="s">
        <v>369</v>
      </c>
      <c r="Y134" s="72"/>
    </row>
    <row r="135" spans="1:25" x14ac:dyDescent="0.25">
      <c r="A135" s="23" t="s">
        <v>330</v>
      </c>
      <c r="B135" s="36">
        <v>8.1</v>
      </c>
      <c r="C135" s="32">
        <v>100</v>
      </c>
      <c r="D135" s="32">
        <v>55</v>
      </c>
      <c r="E135" s="32">
        <v>4.0999999999999996</v>
      </c>
      <c r="F135" s="32">
        <v>5.7</v>
      </c>
      <c r="G135" s="33">
        <v>7</v>
      </c>
      <c r="H135">
        <v>1030</v>
      </c>
      <c r="I135" s="32">
        <v>88.6</v>
      </c>
      <c r="J135" s="32">
        <v>74.599999999999994</v>
      </c>
      <c r="K135" s="72">
        <v>1710000</v>
      </c>
      <c r="L135" s="72">
        <v>34200</v>
      </c>
      <c r="M135" s="72">
        <v>39410</v>
      </c>
      <c r="N135">
        <v>40.700000000000003</v>
      </c>
      <c r="O135">
        <v>508</v>
      </c>
      <c r="P135" s="72">
        <v>159200</v>
      </c>
      <c r="Q135" s="72">
        <v>5790</v>
      </c>
      <c r="R135" s="72">
        <v>9150</v>
      </c>
      <c r="S135">
        <v>12.4</v>
      </c>
      <c r="T135" s="32">
        <v>23.7</v>
      </c>
      <c r="U135" s="72">
        <v>12000</v>
      </c>
      <c r="V135" s="72">
        <v>350000000</v>
      </c>
      <c r="W135" t="s">
        <v>369</v>
      </c>
      <c r="Y135" s="72"/>
    </row>
    <row r="136" spans="1:25" x14ac:dyDescent="0.25">
      <c r="A136" s="23" t="s">
        <v>292</v>
      </c>
      <c r="B136" s="36">
        <v>6.9</v>
      </c>
      <c r="C136" s="32">
        <v>98</v>
      </c>
      <c r="D136" s="32">
        <v>55</v>
      </c>
      <c r="E136" s="32">
        <v>3.6</v>
      </c>
      <c r="F136" s="32">
        <v>4.7</v>
      </c>
      <c r="G136" s="33">
        <v>7</v>
      </c>
      <c r="H136">
        <v>877.99999999999989</v>
      </c>
      <c r="I136" s="32">
        <v>88.6</v>
      </c>
      <c r="J136" s="32">
        <v>74.599999999999994</v>
      </c>
      <c r="K136" s="72">
        <v>1412000</v>
      </c>
      <c r="L136" s="72">
        <v>28810</v>
      </c>
      <c r="M136" s="72">
        <v>32980</v>
      </c>
      <c r="N136">
        <v>40.099999999999994</v>
      </c>
      <c r="O136">
        <v>444.00000000000006</v>
      </c>
      <c r="P136" s="72">
        <v>131200</v>
      </c>
      <c r="Q136" s="72">
        <v>4770</v>
      </c>
      <c r="R136" s="72">
        <v>7540</v>
      </c>
      <c r="S136">
        <v>12.2</v>
      </c>
      <c r="T136" s="32">
        <v>21.2</v>
      </c>
      <c r="U136" s="72">
        <v>7700</v>
      </c>
      <c r="V136" s="72">
        <v>280000000</v>
      </c>
      <c r="W136" t="s">
        <v>369</v>
      </c>
      <c r="Y136" s="72"/>
    </row>
    <row r="137" spans="1:25" x14ac:dyDescent="0.25">
      <c r="A137" s="23" t="s">
        <v>291</v>
      </c>
      <c r="B137" s="36">
        <v>6.7</v>
      </c>
      <c r="C137" s="32">
        <v>97.6</v>
      </c>
      <c r="D137" s="32">
        <v>55</v>
      </c>
      <c r="E137" s="32">
        <v>3.6</v>
      </c>
      <c r="F137" s="32">
        <v>4.5</v>
      </c>
      <c r="G137" s="33">
        <v>7</v>
      </c>
      <c r="H137">
        <v>856</v>
      </c>
      <c r="I137" s="32">
        <v>88.6</v>
      </c>
      <c r="J137" s="32">
        <v>74.599999999999994</v>
      </c>
      <c r="K137" s="72">
        <v>1359000</v>
      </c>
      <c r="L137" s="72">
        <v>27850</v>
      </c>
      <c r="M137" s="72">
        <v>31900</v>
      </c>
      <c r="N137">
        <v>39.799999999999997</v>
      </c>
      <c r="O137">
        <v>440.00000000000006</v>
      </c>
      <c r="P137" s="72">
        <v>125700</v>
      </c>
      <c r="Q137" s="72">
        <v>4570</v>
      </c>
      <c r="R137" s="72">
        <v>7230</v>
      </c>
      <c r="S137">
        <v>12.1</v>
      </c>
      <c r="T137" s="32">
        <v>20.8</v>
      </c>
      <c r="U137" s="72">
        <v>7300</v>
      </c>
      <c r="V137" s="72">
        <v>270000000</v>
      </c>
      <c r="W137" t="s">
        <v>369</v>
      </c>
      <c r="Y137" s="72"/>
    </row>
    <row r="138" spans="1:25" x14ac:dyDescent="0.25">
      <c r="A138" s="23" t="s">
        <v>331</v>
      </c>
      <c r="B138" s="36">
        <v>10.4</v>
      </c>
      <c r="C138" s="32">
        <v>120</v>
      </c>
      <c r="D138" s="32">
        <v>64</v>
      </c>
      <c r="E138" s="32">
        <v>4.4000000000000004</v>
      </c>
      <c r="F138" s="32">
        <v>6.3</v>
      </c>
      <c r="G138" s="33">
        <v>7</v>
      </c>
      <c r="H138">
        <v>1320</v>
      </c>
      <c r="I138" s="32">
        <v>107.4</v>
      </c>
      <c r="J138" s="32">
        <v>93.4</v>
      </c>
      <c r="K138" s="72">
        <v>3178000</v>
      </c>
      <c r="L138" s="72">
        <v>52960</v>
      </c>
      <c r="M138" s="72">
        <v>60730</v>
      </c>
      <c r="N138">
        <v>49</v>
      </c>
      <c r="O138">
        <v>631</v>
      </c>
      <c r="P138" s="72">
        <v>276700</v>
      </c>
      <c r="Q138" s="72">
        <v>8650</v>
      </c>
      <c r="R138" s="72">
        <v>13580</v>
      </c>
      <c r="S138">
        <v>14.5</v>
      </c>
      <c r="T138" s="32">
        <v>25.2</v>
      </c>
      <c r="U138" s="72">
        <v>17400</v>
      </c>
      <c r="V138" s="72">
        <v>890000000</v>
      </c>
      <c r="W138" t="s">
        <v>369</v>
      </c>
      <c r="Y138" s="72"/>
    </row>
    <row r="139" spans="1:25" x14ac:dyDescent="0.25">
      <c r="A139" s="23" t="s">
        <v>294</v>
      </c>
      <c r="B139" s="36">
        <v>8.6584055599999985</v>
      </c>
      <c r="C139" s="32">
        <v>117.6</v>
      </c>
      <c r="D139" s="32">
        <v>64</v>
      </c>
      <c r="E139" s="32">
        <v>3.8</v>
      </c>
      <c r="F139" s="32">
        <v>5.0999999999999996</v>
      </c>
      <c r="G139" s="33">
        <v>7</v>
      </c>
      <c r="H139">
        <v>1100</v>
      </c>
      <c r="I139" s="32">
        <v>107.4</v>
      </c>
      <c r="J139" s="32">
        <v>93.4</v>
      </c>
      <c r="K139" s="72">
        <v>2574000</v>
      </c>
      <c r="L139" s="72">
        <v>43770</v>
      </c>
      <c r="M139" s="72">
        <v>49870</v>
      </c>
      <c r="N139">
        <v>48.3</v>
      </c>
      <c r="O139">
        <v>541</v>
      </c>
      <c r="P139" s="72">
        <v>223900</v>
      </c>
      <c r="Q139" s="72">
        <v>7000</v>
      </c>
      <c r="R139" s="72">
        <v>10980</v>
      </c>
      <c r="S139">
        <v>14.2</v>
      </c>
      <c r="T139" s="32">
        <v>22.2</v>
      </c>
      <c r="U139" s="72">
        <v>10400</v>
      </c>
      <c r="V139" s="72">
        <v>710000000</v>
      </c>
      <c r="W139" t="s">
        <v>369</v>
      </c>
      <c r="Y139" s="72"/>
    </row>
    <row r="140" spans="1:25" x14ac:dyDescent="0.25">
      <c r="A140" s="23" t="s">
        <v>293</v>
      </c>
      <c r="B140" s="36">
        <v>8.4</v>
      </c>
      <c r="C140" s="32">
        <v>117</v>
      </c>
      <c r="D140" s="32">
        <v>64</v>
      </c>
      <c r="E140" s="32">
        <v>3.8</v>
      </c>
      <c r="F140" s="32">
        <v>4.8</v>
      </c>
      <c r="G140" s="33">
        <v>7</v>
      </c>
      <c r="H140">
        <v>1065</v>
      </c>
      <c r="I140" s="32">
        <v>107.4</v>
      </c>
      <c r="J140" s="32">
        <v>93.4</v>
      </c>
      <c r="K140" s="72">
        <v>2442000</v>
      </c>
      <c r="L140" s="72">
        <v>41740</v>
      </c>
      <c r="M140" s="72">
        <v>47620</v>
      </c>
      <c r="N140">
        <v>47.9</v>
      </c>
      <c r="O140">
        <v>536</v>
      </c>
      <c r="P140" s="72">
        <v>210799.99999999997</v>
      </c>
      <c r="Q140" s="72">
        <v>6590</v>
      </c>
      <c r="R140" s="72">
        <v>10360</v>
      </c>
      <c r="S140">
        <v>14.1</v>
      </c>
      <c r="T140" s="32">
        <v>21.6</v>
      </c>
      <c r="U140" s="72">
        <v>9500</v>
      </c>
      <c r="V140" s="72">
        <v>660000000</v>
      </c>
      <c r="W140" t="s">
        <v>369</v>
      </c>
      <c r="Y140" s="72"/>
    </row>
    <row r="141" spans="1:25" x14ac:dyDescent="0.25">
      <c r="A141" s="23" t="s">
        <v>332</v>
      </c>
      <c r="B141" s="36">
        <v>12.9</v>
      </c>
      <c r="C141" s="32">
        <v>140</v>
      </c>
      <c r="D141" s="32">
        <v>73</v>
      </c>
      <c r="E141" s="32">
        <v>4.7</v>
      </c>
      <c r="F141" s="32">
        <v>6.9</v>
      </c>
      <c r="G141" s="33">
        <v>7</v>
      </c>
      <c r="H141">
        <v>1639.9999999999998</v>
      </c>
      <c r="I141" s="32">
        <v>126.2</v>
      </c>
      <c r="J141" s="32">
        <v>112.2</v>
      </c>
      <c r="K141" s="72">
        <v>5412000</v>
      </c>
      <c r="L141" s="72">
        <v>77320</v>
      </c>
      <c r="M141" s="72">
        <v>88340</v>
      </c>
      <c r="N141">
        <v>57.400000000000006</v>
      </c>
      <c r="O141">
        <v>764</v>
      </c>
      <c r="P141" s="72">
        <v>449200</v>
      </c>
      <c r="Q141" s="72">
        <v>12310</v>
      </c>
      <c r="R141" s="72">
        <v>19250</v>
      </c>
      <c r="S141">
        <v>16.5</v>
      </c>
      <c r="T141" s="32">
        <v>26.7</v>
      </c>
      <c r="U141" s="72">
        <v>24500</v>
      </c>
      <c r="V141" s="72">
        <v>1980000000</v>
      </c>
      <c r="W141" t="s">
        <v>369</v>
      </c>
      <c r="Y141" s="72"/>
    </row>
    <row r="142" spans="1:25" x14ac:dyDescent="0.25">
      <c r="A142" s="23" t="s">
        <v>296</v>
      </c>
      <c r="B142" s="36">
        <v>10.5</v>
      </c>
      <c r="C142" s="32">
        <v>137.4</v>
      </c>
      <c r="D142" s="32">
        <v>73</v>
      </c>
      <c r="E142" s="32">
        <v>3.8</v>
      </c>
      <c r="F142" s="32">
        <v>5.6</v>
      </c>
      <c r="G142" s="33">
        <v>7</v>
      </c>
      <c r="H142">
        <v>1340</v>
      </c>
      <c r="I142" s="32">
        <v>126.2</v>
      </c>
      <c r="J142" s="32">
        <v>112.2</v>
      </c>
      <c r="K142" s="72">
        <v>4349000</v>
      </c>
      <c r="L142" s="72">
        <v>63300</v>
      </c>
      <c r="M142" s="72">
        <v>71600</v>
      </c>
      <c r="N142">
        <v>57</v>
      </c>
      <c r="O142">
        <v>621</v>
      </c>
      <c r="P142" s="72">
        <v>364200</v>
      </c>
      <c r="Q142" s="72">
        <v>9980</v>
      </c>
      <c r="R142" s="72">
        <v>15520</v>
      </c>
      <c r="S142">
        <v>16.5</v>
      </c>
      <c r="T142" s="32">
        <v>23.2</v>
      </c>
      <c r="U142" s="72">
        <v>13600.000000000002</v>
      </c>
      <c r="V142" s="72">
        <v>1580000000</v>
      </c>
      <c r="W142" t="s">
        <v>369</v>
      </c>
      <c r="Y142" s="72"/>
    </row>
    <row r="143" spans="1:25" x14ac:dyDescent="0.25">
      <c r="A143" s="23" t="s">
        <v>295</v>
      </c>
      <c r="B143" s="36">
        <v>10.1</v>
      </c>
      <c r="C143" s="32">
        <v>136.6</v>
      </c>
      <c r="D143" s="32">
        <v>73</v>
      </c>
      <c r="E143" s="32">
        <v>3.8</v>
      </c>
      <c r="F143" s="32">
        <v>5.2</v>
      </c>
      <c r="G143" s="33">
        <v>7</v>
      </c>
      <c r="H143">
        <v>1281</v>
      </c>
      <c r="I143" s="32">
        <v>126.2</v>
      </c>
      <c r="J143" s="32">
        <v>112.2</v>
      </c>
      <c r="K143" s="72">
        <v>4070000</v>
      </c>
      <c r="L143" s="72">
        <v>59660</v>
      </c>
      <c r="M143" s="72">
        <v>67600</v>
      </c>
      <c r="N143">
        <v>56.4</v>
      </c>
      <c r="O143">
        <v>614</v>
      </c>
      <c r="P143" s="72">
        <v>338300</v>
      </c>
      <c r="Q143" s="72">
        <v>9270</v>
      </c>
      <c r="R143" s="72">
        <v>14460</v>
      </c>
      <c r="S143">
        <v>16.299999999999997</v>
      </c>
      <c r="T143" s="32">
        <v>22.4</v>
      </c>
      <c r="U143" s="72">
        <v>11900</v>
      </c>
      <c r="V143" s="72">
        <v>1460000000</v>
      </c>
      <c r="W143" t="s">
        <v>369</v>
      </c>
      <c r="Y143" s="72"/>
    </row>
    <row r="144" spans="1:25" x14ac:dyDescent="0.25">
      <c r="A144" s="23" t="s">
        <v>333</v>
      </c>
      <c r="B144" s="36">
        <v>15.8</v>
      </c>
      <c r="C144" s="32">
        <v>160</v>
      </c>
      <c r="D144" s="32">
        <v>82</v>
      </c>
      <c r="E144" s="32">
        <v>5</v>
      </c>
      <c r="F144" s="32">
        <v>7.4</v>
      </c>
      <c r="G144" s="33">
        <v>9</v>
      </c>
      <c r="H144">
        <v>2010.0000000000002</v>
      </c>
      <c r="I144" s="32">
        <v>145.19999999999999</v>
      </c>
      <c r="J144" s="32">
        <v>127.2</v>
      </c>
      <c r="K144" s="72">
        <v>8693000</v>
      </c>
      <c r="L144" s="72">
        <v>108700</v>
      </c>
      <c r="M144" s="72">
        <v>123900</v>
      </c>
      <c r="N144">
        <v>65.8</v>
      </c>
      <c r="O144">
        <v>966</v>
      </c>
      <c r="P144" s="72">
        <v>683100</v>
      </c>
      <c r="Q144" s="72">
        <v>16660</v>
      </c>
      <c r="R144" s="72">
        <v>26100</v>
      </c>
      <c r="S144">
        <v>18.400000000000002</v>
      </c>
      <c r="T144" s="32">
        <v>30.34</v>
      </c>
      <c r="U144" s="72">
        <v>36000</v>
      </c>
      <c r="V144" s="72">
        <v>3960000000</v>
      </c>
      <c r="W144" t="s">
        <v>369</v>
      </c>
      <c r="Y144" s="72"/>
    </row>
    <row r="145" spans="1:25" x14ac:dyDescent="0.25">
      <c r="A145" s="23" t="s">
        <v>298</v>
      </c>
      <c r="B145" s="36">
        <v>12.7</v>
      </c>
      <c r="C145" s="32">
        <v>157</v>
      </c>
      <c r="D145" s="32">
        <v>82</v>
      </c>
      <c r="E145" s="32">
        <v>4</v>
      </c>
      <c r="F145" s="32">
        <v>5.9</v>
      </c>
      <c r="G145" s="33">
        <v>9</v>
      </c>
      <c r="H145">
        <v>1620</v>
      </c>
      <c r="I145" s="32">
        <v>145.19999999999999</v>
      </c>
      <c r="J145" s="32">
        <v>127.2</v>
      </c>
      <c r="K145" s="72">
        <v>6893000</v>
      </c>
      <c r="L145" s="72">
        <v>87810</v>
      </c>
      <c r="M145" s="72">
        <v>99090</v>
      </c>
      <c r="N145">
        <v>65.3</v>
      </c>
      <c r="O145">
        <v>780</v>
      </c>
      <c r="P145" s="72">
        <v>544300</v>
      </c>
      <c r="Q145" s="72">
        <v>13270</v>
      </c>
      <c r="R145" s="72">
        <v>20700</v>
      </c>
      <c r="S145">
        <v>18.3</v>
      </c>
      <c r="T145" s="32">
        <v>26.34</v>
      </c>
      <c r="U145" s="72">
        <v>19600</v>
      </c>
      <c r="V145" s="72">
        <v>3090000000</v>
      </c>
      <c r="W145" t="s">
        <v>369</v>
      </c>
      <c r="Y145" s="72"/>
    </row>
    <row r="146" spans="1:25" x14ac:dyDescent="0.25">
      <c r="A146" s="23" t="s">
        <v>297</v>
      </c>
      <c r="B146" s="36">
        <v>12.1</v>
      </c>
      <c r="C146" s="32">
        <v>156.4</v>
      </c>
      <c r="D146" s="32">
        <v>82</v>
      </c>
      <c r="E146" s="32">
        <v>4</v>
      </c>
      <c r="F146" s="32">
        <v>5.6</v>
      </c>
      <c r="G146" s="33">
        <v>7</v>
      </c>
      <c r="H146">
        <v>1540</v>
      </c>
      <c r="I146" s="32">
        <v>145.19999999999999</v>
      </c>
      <c r="J146" s="32">
        <v>131.19999999999999</v>
      </c>
      <c r="K146" s="72">
        <v>6456000</v>
      </c>
      <c r="L146" s="72">
        <v>82560</v>
      </c>
      <c r="M146" s="72">
        <v>93320</v>
      </c>
      <c r="N146">
        <v>64.7</v>
      </c>
      <c r="O146">
        <v>724</v>
      </c>
      <c r="P146" s="72">
        <v>516000</v>
      </c>
      <c r="Q146" s="72">
        <v>12590</v>
      </c>
      <c r="R146" s="72">
        <v>19560</v>
      </c>
      <c r="S146">
        <v>18.3</v>
      </c>
      <c r="T146" s="32">
        <v>23.4</v>
      </c>
      <c r="U146" s="72">
        <v>15700</v>
      </c>
      <c r="V146" s="72">
        <v>2930000000</v>
      </c>
      <c r="W146" t="s">
        <v>369</v>
      </c>
      <c r="Y146" s="72"/>
    </row>
    <row r="147" spans="1:25" x14ac:dyDescent="0.25">
      <c r="A147" s="23" t="s">
        <v>334</v>
      </c>
      <c r="B147" s="36">
        <v>18.8</v>
      </c>
      <c r="C147" s="32">
        <v>180</v>
      </c>
      <c r="D147" s="32">
        <v>91</v>
      </c>
      <c r="E147" s="32">
        <v>5.3</v>
      </c>
      <c r="F147" s="32">
        <v>8</v>
      </c>
      <c r="G147" s="33">
        <v>9</v>
      </c>
      <c r="H147">
        <v>2390</v>
      </c>
      <c r="I147" s="32">
        <v>164</v>
      </c>
      <c r="J147" s="32">
        <v>146</v>
      </c>
      <c r="K147" s="72">
        <v>13170000</v>
      </c>
      <c r="L147" s="72">
        <v>146300</v>
      </c>
      <c r="M147" s="72">
        <v>166400</v>
      </c>
      <c r="N147">
        <v>74.2</v>
      </c>
      <c r="O147">
        <v>1125</v>
      </c>
      <c r="P147" s="72">
        <v>1009000</v>
      </c>
      <c r="Q147" s="72">
        <v>22160</v>
      </c>
      <c r="R147" s="72">
        <v>34600</v>
      </c>
      <c r="S147">
        <v>20.5</v>
      </c>
      <c r="T147" s="32">
        <v>31.84</v>
      </c>
      <c r="U147" s="72">
        <v>47900</v>
      </c>
      <c r="V147" s="72">
        <v>7430000000</v>
      </c>
      <c r="W147" t="s">
        <v>369</v>
      </c>
      <c r="Y147" s="72"/>
    </row>
    <row r="148" spans="1:25" x14ac:dyDescent="0.25">
      <c r="A148" s="23" t="s">
        <v>300</v>
      </c>
      <c r="B148" s="36">
        <v>15.4</v>
      </c>
      <c r="C148" s="32">
        <v>177</v>
      </c>
      <c r="D148" s="32">
        <v>91</v>
      </c>
      <c r="E148" s="32">
        <v>4.3</v>
      </c>
      <c r="F148" s="32">
        <v>6.5</v>
      </c>
      <c r="G148" s="33">
        <v>9</v>
      </c>
      <c r="H148">
        <v>1960.0000000000002</v>
      </c>
      <c r="I148" s="32">
        <v>164</v>
      </c>
      <c r="J148" s="32">
        <v>146</v>
      </c>
      <c r="K148" s="72">
        <v>10630000</v>
      </c>
      <c r="L148" s="72">
        <v>120100</v>
      </c>
      <c r="M148" s="72">
        <v>135300</v>
      </c>
      <c r="N148">
        <v>73.7</v>
      </c>
      <c r="O148">
        <v>919.99999999999989</v>
      </c>
      <c r="P148" s="72">
        <v>818900</v>
      </c>
      <c r="Q148" s="72">
        <v>18000</v>
      </c>
      <c r="R148" s="72">
        <v>27960</v>
      </c>
      <c r="S148">
        <v>20.5</v>
      </c>
      <c r="T148" s="32">
        <v>27.84</v>
      </c>
      <c r="U148" s="72">
        <v>27000</v>
      </c>
      <c r="V148" s="72">
        <v>5930000000</v>
      </c>
      <c r="W148" t="s">
        <v>369</v>
      </c>
      <c r="Y148" s="72"/>
    </row>
    <row r="149" spans="1:25" x14ac:dyDescent="0.25">
      <c r="A149" s="23" t="s">
        <v>299</v>
      </c>
      <c r="B149" s="36">
        <v>14.9</v>
      </c>
      <c r="C149" s="32">
        <v>176.4</v>
      </c>
      <c r="D149" s="32">
        <v>91</v>
      </c>
      <c r="E149" s="32">
        <v>4.3</v>
      </c>
      <c r="F149" s="32">
        <v>6.2</v>
      </c>
      <c r="G149" s="33">
        <v>9</v>
      </c>
      <c r="H149">
        <v>1903</v>
      </c>
      <c r="I149" s="32">
        <v>164</v>
      </c>
      <c r="J149" s="32">
        <v>146</v>
      </c>
      <c r="K149" s="72">
        <v>10200000</v>
      </c>
      <c r="L149" s="72">
        <v>115700</v>
      </c>
      <c r="M149" s="72">
        <v>130500</v>
      </c>
      <c r="N149">
        <v>73.2</v>
      </c>
      <c r="O149">
        <v>913.00000000000011</v>
      </c>
      <c r="P149" s="72">
        <v>781200</v>
      </c>
      <c r="Q149" s="72">
        <v>17170</v>
      </c>
      <c r="R149" s="72">
        <v>26720</v>
      </c>
      <c r="S149">
        <v>20.299999999999997</v>
      </c>
      <c r="T149" s="32">
        <v>27.24</v>
      </c>
      <c r="U149" s="72">
        <v>24800</v>
      </c>
      <c r="V149" s="72">
        <v>5640000000</v>
      </c>
      <c r="W149" t="s">
        <v>369</v>
      </c>
      <c r="Y149" s="72"/>
    </row>
    <row r="150" spans="1:25" x14ac:dyDescent="0.25">
      <c r="A150" s="23" t="s">
        <v>301</v>
      </c>
      <c r="B150" s="36">
        <v>21.3</v>
      </c>
      <c r="C150" s="32">
        <v>182</v>
      </c>
      <c r="D150" s="32">
        <v>92</v>
      </c>
      <c r="E150" s="32">
        <v>6</v>
      </c>
      <c r="F150" s="32">
        <v>9</v>
      </c>
      <c r="G150" s="33">
        <v>9</v>
      </c>
      <c r="H150">
        <v>2710</v>
      </c>
      <c r="I150" s="32">
        <v>164</v>
      </c>
      <c r="J150" s="32">
        <v>146</v>
      </c>
      <c r="K150" s="72">
        <v>15050000</v>
      </c>
      <c r="L150" s="72">
        <v>165400</v>
      </c>
      <c r="M150" s="72">
        <v>189100</v>
      </c>
      <c r="N150">
        <v>74.5</v>
      </c>
      <c r="O150">
        <v>1270</v>
      </c>
      <c r="P150" s="72">
        <v>1173000</v>
      </c>
      <c r="Q150" s="72">
        <v>25500</v>
      </c>
      <c r="R150" s="72">
        <v>39910</v>
      </c>
      <c r="S150">
        <v>20.8</v>
      </c>
      <c r="T150" s="32">
        <v>34.54</v>
      </c>
      <c r="U150" s="72">
        <v>67600</v>
      </c>
      <c r="V150" s="72">
        <v>8740000000</v>
      </c>
      <c r="W150" t="s">
        <v>369</v>
      </c>
      <c r="Y150" s="72"/>
    </row>
    <row r="151" spans="1:25" x14ac:dyDescent="0.25">
      <c r="A151" s="23" t="s">
        <v>335</v>
      </c>
      <c r="B151" s="36">
        <v>22.4</v>
      </c>
      <c r="C151" s="32">
        <v>200</v>
      </c>
      <c r="D151" s="32">
        <v>100</v>
      </c>
      <c r="E151" s="32">
        <v>5.6</v>
      </c>
      <c r="F151" s="32">
        <v>8.5</v>
      </c>
      <c r="G151" s="33">
        <v>12</v>
      </c>
      <c r="H151">
        <v>2850</v>
      </c>
      <c r="I151" s="32">
        <v>183</v>
      </c>
      <c r="J151" s="32">
        <v>159</v>
      </c>
      <c r="K151" s="72">
        <v>19430000</v>
      </c>
      <c r="L151" s="72">
        <v>194300</v>
      </c>
      <c r="M151" s="72">
        <v>220600</v>
      </c>
      <c r="N151">
        <v>82.6</v>
      </c>
      <c r="O151">
        <v>1400</v>
      </c>
      <c r="P151" s="72">
        <v>1424000</v>
      </c>
      <c r="Q151" s="72">
        <v>28470</v>
      </c>
      <c r="R151" s="72">
        <v>44610</v>
      </c>
      <c r="S151">
        <v>22.400000000000002</v>
      </c>
      <c r="T151" s="32">
        <v>36.659999999999997</v>
      </c>
      <c r="U151" s="72">
        <v>69800</v>
      </c>
      <c r="V151" s="72">
        <v>12990000000</v>
      </c>
      <c r="W151" t="s">
        <v>369</v>
      </c>
      <c r="Y151" s="72"/>
    </row>
    <row r="152" spans="1:25" x14ac:dyDescent="0.25">
      <c r="A152" s="23" t="s">
        <v>303</v>
      </c>
      <c r="B152" s="36">
        <v>18.399999999999999</v>
      </c>
      <c r="C152" s="32">
        <v>197</v>
      </c>
      <c r="D152" s="32">
        <v>100</v>
      </c>
      <c r="E152" s="32">
        <v>4.5</v>
      </c>
      <c r="F152" s="32">
        <v>7</v>
      </c>
      <c r="G152" s="33">
        <v>12</v>
      </c>
      <c r="H152">
        <v>2350</v>
      </c>
      <c r="I152" s="32">
        <v>183</v>
      </c>
      <c r="J152" s="32">
        <v>159</v>
      </c>
      <c r="K152" s="72">
        <v>15910000</v>
      </c>
      <c r="L152" s="72">
        <v>161600</v>
      </c>
      <c r="M152" s="72">
        <v>181700</v>
      </c>
      <c r="N152">
        <v>82.300000000000011</v>
      </c>
      <c r="O152">
        <v>1147</v>
      </c>
      <c r="P152" s="72">
        <v>1172000</v>
      </c>
      <c r="Q152" s="72">
        <v>23430</v>
      </c>
      <c r="R152" s="72">
        <v>36540</v>
      </c>
      <c r="S152">
        <v>22.3</v>
      </c>
      <c r="T152" s="32">
        <v>32.56</v>
      </c>
      <c r="U152" s="72">
        <v>41100</v>
      </c>
      <c r="V152" s="72">
        <v>10530000000</v>
      </c>
      <c r="W152" t="s">
        <v>369</v>
      </c>
      <c r="Y152" s="72"/>
    </row>
    <row r="153" spans="1:25" x14ac:dyDescent="0.25">
      <c r="A153" s="23" t="s">
        <v>302</v>
      </c>
      <c r="B153" s="36">
        <v>18</v>
      </c>
      <c r="C153" s="32">
        <v>196.4</v>
      </c>
      <c r="D153" s="32">
        <v>100</v>
      </c>
      <c r="E153" s="32">
        <v>4.5</v>
      </c>
      <c r="F153" s="32">
        <v>6.7</v>
      </c>
      <c r="G153" s="33">
        <v>12</v>
      </c>
      <c r="H153">
        <v>2287</v>
      </c>
      <c r="I153" s="32">
        <v>183</v>
      </c>
      <c r="J153" s="32">
        <v>159</v>
      </c>
      <c r="K153" s="72">
        <v>15330000</v>
      </c>
      <c r="L153" s="72">
        <v>156200</v>
      </c>
      <c r="M153" s="72">
        <v>175800</v>
      </c>
      <c r="N153">
        <v>81.899999999999991</v>
      </c>
      <c r="O153">
        <v>1138</v>
      </c>
      <c r="P153" s="72">
        <v>1122000</v>
      </c>
      <c r="Q153" s="72">
        <v>22430</v>
      </c>
      <c r="R153" s="72">
        <v>35040</v>
      </c>
      <c r="S153">
        <v>22.1</v>
      </c>
      <c r="T153" s="32">
        <v>31.96</v>
      </c>
      <c r="U153" s="72">
        <v>38400</v>
      </c>
      <c r="V153" s="72">
        <v>10050000000</v>
      </c>
      <c r="W153" t="s">
        <v>369</v>
      </c>
      <c r="Y153" s="72"/>
    </row>
    <row r="154" spans="1:25" x14ac:dyDescent="0.25">
      <c r="A154" s="23" t="s">
        <v>304</v>
      </c>
      <c r="B154" s="36">
        <v>25.1</v>
      </c>
      <c r="C154" s="32">
        <v>202</v>
      </c>
      <c r="D154" s="32">
        <v>102</v>
      </c>
      <c r="E154" s="32">
        <v>6.2</v>
      </c>
      <c r="F154" s="32">
        <v>9.5</v>
      </c>
      <c r="G154" s="33">
        <v>12</v>
      </c>
      <c r="H154">
        <v>3200</v>
      </c>
      <c r="I154" s="32">
        <v>183</v>
      </c>
      <c r="J154" s="32">
        <v>159</v>
      </c>
      <c r="K154" s="72">
        <v>22110000</v>
      </c>
      <c r="L154" s="72">
        <v>218900</v>
      </c>
      <c r="M154" s="72">
        <v>249400</v>
      </c>
      <c r="N154">
        <v>83.2</v>
      </c>
      <c r="O154">
        <v>1545</v>
      </c>
      <c r="P154" s="72">
        <v>1689000</v>
      </c>
      <c r="Q154" s="72">
        <v>33110</v>
      </c>
      <c r="R154" s="72">
        <v>51890</v>
      </c>
      <c r="S154">
        <v>23</v>
      </c>
      <c r="T154" s="32">
        <v>39.26</v>
      </c>
      <c r="U154" s="72">
        <v>94500</v>
      </c>
      <c r="V154" s="72">
        <v>15570000000</v>
      </c>
      <c r="W154" t="s">
        <v>369</v>
      </c>
      <c r="Y154" s="72"/>
    </row>
    <row r="155" spans="1:25" x14ac:dyDescent="0.25">
      <c r="A155" s="23" t="s">
        <v>336</v>
      </c>
      <c r="B155" s="36">
        <v>26.2</v>
      </c>
      <c r="C155" s="32">
        <v>220</v>
      </c>
      <c r="D155" s="32">
        <v>110</v>
      </c>
      <c r="E155" s="32">
        <v>5.9</v>
      </c>
      <c r="F155" s="32">
        <v>9.1999999999999993</v>
      </c>
      <c r="G155" s="33">
        <v>12</v>
      </c>
      <c r="H155">
        <v>3340</v>
      </c>
      <c r="I155" s="32">
        <v>201.6</v>
      </c>
      <c r="J155" s="32">
        <v>177.6</v>
      </c>
      <c r="K155" s="72">
        <v>27720000</v>
      </c>
      <c r="L155" s="72">
        <v>252000</v>
      </c>
      <c r="M155" s="72">
        <v>285400</v>
      </c>
      <c r="N155">
        <v>91.1</v>
      </c>
      <c r="O155">
        <v>1588</v>
      </c>
      <c r="P155" s="72">
        <v>2049000</v>
      </c>
      <c r="Q155" s="72">
        <v>37250</v>
      </c>
      <c r="R155" s="72">
        <v>58110</v>
      </c>
      <c r="S155">
        <v>24.8</v>
      </c>
      <c r="T155" s="32">
        <v>38.36</v>
      </c>
      <c r="U155" s="72">
        <v>90700</v>
      </c>
      <c r="V155" s="72">
        <v>22670000000</v>
      </c>
      <c r="W155" t="s">
        <v>369</v>
      </c>
      <c r="Y155" s="72"/>
    </row>
    <row r="156" spans="1:25" x14ac:dyDescent="0.25">
      <c r="A156" s="23" t="s">
        <v>306</v>
      </c>
      <c r="B156" s="36">
        <v>22.2</v>
      </c>
      <c r="C156" s="32">
        <v>217</v>
      </c>
      <c r="D156" s="32">
        <v>110</v>
      </c>
      <c r="E156" s="32">
        <v>5</v>
      </c>
      <c r="F156" s="32">
        <v>7.7</v>
      </c>
      <c r="G156" s="33">
        <v>12</v>
      </c>
      <c r="H156">
        <v>2830</v>
      </c>
      <c r="I156" s="32">
        <v>201.6</v>
      </c>
      <c r="J156" s="32">
        <v>177.6</v>
      </c>
      <c r="K156" s="72">
        <v>23170000</v>
      </c>
      <c r="L156" s="72">
        <v>213500</v>
      </c>
      <c r="M156" s="72">
        <v>240200</v>
      </c>
      <c r="N156">
        <v>90.5</v>
      </c>
      <c r="O156">
        <v>1355</v>
      </c>
      <c r="P156" s="72">
        <v>1714000</v>
      </c>
      <c r="Q156" s="72">
        <v>31170</v>
      </c>
      <c r="R156" s="72">
        <v>48490</v>
      </c>
      <c r="S156">
        <v>24.6</v>
      </c>
      <c r="T156" s="32">
        <v>34.46</v>
      </c>
      <c r="U156" s="72">
        <v>56900.000000000007</v>
      </c>
      <c r="V156" s="72">
        <v>18710000000</v>
      </c>
      <c r="W156" t="s">
        <v>369</v>
      </c>
      <c r="Y156" s="72"/>
    </row>
    <row r="157" spans="1:25" x14ac:dyDescent="0.25">
      <c r="A157" s="23" t="s">
        <v>305</v>
      </c>
      <c r="B157" s="36">
        <v>21.2</v>
      </c>
      <c r="C157" s="32">
        <v>216.4</v>
      </c>
      <c r="D157" s="32">
        <v>110</v>
      </c>
      <c r="E157" s="32">
        <v>4.7</v>
      </c>
      <c r="F157" s="32">
        <v>7.4</v>
      </c>
      <c r="G157" s="33">
        <v>12</v>
      </c>
      <c r="H157">
        <v>2699</v>
      </c>
      <c r="I157" s="32">
        <v>201.6</v>
      </c>
      <c r="J157" s="32">
        <v>177.6</v>
      </c>
      <c r="K157" s="72">
        <v>22190000</v>
      </c>
      <c r="L157" s="72">
        <v>205000</v>
      </c>
      <c r="M157" s="72">
        <v>230000</v>
      </c>
      <c r="N157">
        <v>90.7</v>
      </c>
      <c r="O157">
        <v>1284</v>
      </c>
      <c r="P157" s="72">
        <v>1647000</v>
      </c>
      <c r="Q157" s="72">
        <v>29900</v>
      </c>
      <c r="R157" s="72">
        <v>46510</v>
      </c>
      <c r="S157">
        <v>24.700000000000003</v>
      </c>
      <c r="T157" s="32">
        <v>33.56</v>
      </c>
      <c r="U157" s="72">
        <v>50199.999999999993</v>
      </c>
      <c r="V157" s="72">
        <v>17930000000</v>
      </c>
      <c r="W157" t="s">
        <v>369</v>
      </c>
      <c r="Y157" s="72"/>
    </row>
    <row r="158" spans="1:25" x14ac:dyDescent="0.25">
      <c r="A158" s="23" t="s">
        <v>307</v>
      </c>
      <c r="B158" s="36">
        <v>29.4</v>
      </c>
      <c r="C158" s="32">
        <v>222</v>
      </c>
      <c r="D158" s="32">
        <v>112</v>
      </c>
      <c r="E158" s="32">
        <v>6.6</v>
      </c>
      <c r="F158" s="32">
        <v>10.199999999999999</v>
      </c>
      <c r="G158" s="33">
        <v>12</v>
      </c>
      <c r="H158">
        <v>3740</v>
      </c>
      <c r="I158" s="32">
        <v>201.6</v>
      </c>
      <c r="J158" s="32">
        <v>177.6</v>
      </c>
      <c r="K158" s="72">
        <v>31340000</v>
      </c>
      <c r="L158" s="72">
        <v>282300</v>
      </c>
      <c r="M158" s="72">
        <v>321100</v>
      </c>
      <c r="N158">
        <v>91.6</v>
      </c>
      <c r="O158">
        <v>1766</v>
      </c>
      <c r="P158" s="72">
        <v>2398000</v>
      </c>
      <c r="Q158" s="72">
        <v>42830</v>
      </c>
      <c r="R158" s="72">
        <v>66910</v>
      </c>
      <c r="S158">
        <v>25.299999999999997</v>
      </c>
      <c r="T158" s="32">
        <v>41.06</v>
      </c>
      <c r="U158" s="72">
        <v>122700</v>
      </c>
      <c r="V158" s="72">
        <v>26790000000</v>
      </c>
      <c r="W158" t="s">
        <v>369</v>
      </c>
      <c r="Y158" s="72"/>
    </row>
    <row r="159" spans="1:25" x14ac:dyDescent="0.25">
      <c r="A159" s="23" t="s">
        <v>337</v>
      </c>
      <c r="B159" s="36">
        <v>30.7</v>
      </c>
      <c r="C159" s="32">
        <v>240</v>
      </c>
      <c r="D159" s="32">
        <v>120</v>
      </c>
      <c r="E159" s="32">
        <v>6.2</v>
      </c>
      <c r="F159" s="32">
        <v>9.8000000000000007</v>
      </c>
      <c r="G159" s="33">
        <v>15</v>
      </c>
      <c r="H159">
        <v>3910</v>
      </c>
      <c r="I159" s="32">
        <v>220.4</v>
      </c>
      <c r="J159" s="32">
        <v>190.4</v>
      </c>
      <c r="K159" s="72">
        <v>38920000</v>
      </c>
      <c r="L159" s="72">
        <v>324300</v>
      </c>
      <c r="M159" s="72">
        <v>366600</v>
      </c>
      <c r="N159">
        <v>99.7</v>
      </c>
      <c r="O159">
        <v>1914</v>
      </c>
      <c r="P159" s="72">
        <v>2836000</v>
      </c>
      <c r="Q159" s="72">
        <v>47270</v>
      </c>
      <c r="R159" s="72">
        <v>73920</v>
      </c>
      <c r="S159">
        <v>26.9</v>
      </c>
      <c r="T159" s="32">
        <v>43.37</v>
      </c>
      <c r="U159" s="72">
        <v>128800.00000000001</v>
      </c>
      <c r="V159" s="72">
        <v>37390000000</v>
      </c>
      <c r="W159" t="s">
        <v>369</v>
      </c>
      <c r="Y159" s="72"/>
    </row>
    <row r="160" spans="1:25" x14ac:dyDescent="0.25">
      <c r="A160" s="23" t="s">
        <v>309</v>
      </c>
      <c r="B160" s="36">
        <v>26.2</v>
      </c>
      <c r="C160" s="32">
        <v>237</v>
      </c>
      <c r="D160" s="32">
        <v>120</v>
      </c>
      <c r="E160" s="32">
        <v>5.2</v>
      </c>
      <c r="F160" s="32">
        <v>8.3000000000000007</v>
      </c>
      <c r="G160" s="33">
        <v>15</v>
      </c>
      <c r="H160">
        <v>3329.9999999999995</v>
      </c>
      <c r="I160" s="32">
        <v>220.4</v>
      </c>
      <c r="J160" s="32">
        <v>190.4</v>
      </c>
      <c r="K160" s="72">
        <v>32900000</v>
      </c>
      <c r="L160" s="72">
        <v>277700</v>
      </c>
      <c r="M160" s="72">
        <v>311600</v>
      </c>
      <c r="N160">
        <v>99.399999999999991</v>
      </c>
      <c r="O160">
        <v>1630.9999999999998</v>
      </c>
      <c r="P160" s="72">
        <v>2401000</v>
      </c>
      <c r="Q160" s="72">
        <v>40020</v>
      </c>
      <c r="R160" s="72">
        <v>62400</v>
      </c>
      <c r="S160">
        <v>26.8</v>
      </c>
      <c r="T160" s="32">
        <v>39.369999999999997</v>
      </c>
      <c r="U160" s="72">
        <v>83500</v>
      </c>
      <c r="V160" s="72">
        <v>31260000000</v>
      </c>
      <c r="W160" t="s">
        <v>369</v>
      </c>
      <c r="Y160" s="72"/>
    </row>
    <row r="161" spans="1:25" x14ac:dyDescent="0.25">
      <c r="A161" s="23" t="s">
        <v>308</v>
      </c>
      <c r="B161" s="36">
        <v>24.9</v>
      </c>
      <c r="C161" s="32">
        <v>236.4</v>
      </c>
      <c r="D161" s="32">
        <v>120</v>
      </c>
      <c r="E161" s="32">
        <v>4.8</v>
      </c>
      <c r="F161" s="32">
        <v>8</v>
      </c>
      <c r="G161" s="33">
        <v>15</v>
      </c>
      <c r="H161">
        <v>3171</v>
      </c>
      <c r="I161" s="32">
        <v>220.4</v>
      </c>
      <c r="J161" s="32">
        <v>190.4</v>
      </c>
      <c r="K161" s="72">
        <v>31540000</v>
      </c>
      <c r="L161" s="72">
        <v>266800</v>
      </c>
      <c r="M161" s="72">
        <v>298200</v>
      </c>
      <c r="N161">
        <v>99.7</v>
      </c>
      <c r="O161">
        <v>1529</v>
      </c>
      <c r="P161" s="72">
        <v>2314000</v>
      </c>
      <c r="Q161" s="72">
        <v>38570</v>
      </c>
      <c r="R161" s="72">
        <v>59980</v>
      </c>
      <c r="S161">
        <v>27</v>
      </c>
      <c r="T161" s="32">
        <v>38.369999999999997</v>
      </c>
      <c r="U161" s="72">
        <v>73300</v>
      </c>
      <c r="V161" s="72">
        <v>30050000000</v>
      </c>
      <c r="W161" t="s">
        <v>369</v>
      </c>
      <c r="Y161" s="72"/>
    </row>
    <row r="162" spans="1:25" x14ac:dyDescent="0.25">
      <c r="A162" s="23" t="s">
        <v>310</v>
      </c>
      <c r="B162" s="36">
        <v>34.299999999999997</v>
      </c>
      <c r="C162" s="32">
        <v>242</v>
      </c>
      <c r="D162" s="32">
        <v>122</v>
      </c>
      <c r="E162" s="32">
        <v>7</v>
      </c>
      <c r="F162" s="32">
        <v>10.8</v>
      </c>
      <c r="G162" s="33">
        <v>15</v>
      </c>
      <c r="H162">
        <v>4370</v>
      </c>
      <c r="I162" s="32">
        <v>220.4</v>
      </c>
      <c r="J162" s="32">
        <v>190.4</v>
      </c>
      <c r="K162" s="72">
        <v>43690000</v>
      </c>
      <c r="L162" s="72">
        <v>361100</v>
      </c>
      <c r="M162" s="72">
        <v>410300</v>
      </c>
      <c r="N162">
        <v>100</v>
      </c>
      <c r="O162">
        <v>2136</v>
      </c>
      <c r="P162" s="72">
        <v>3285000</v>
      </c>
      <c r="Q162" s="72">
        <v>53860</v>
      </c>
      <c r="R162" s="72">
        <v>84400</v>
      </c>
      <c r="S162">
        <v>27.400000000000002</v>
      </c>
      <c r="T162" s="32">
        <v>46.17</v>
      </c>
      <c r="U162" s="72">
        <v>171800</v>
      </c>
      <c r="V162" s="72">
        <v>43680000000</v>
      </c>
      <c r="W162" t="s">
        <v>369</v>
      </c>
      <c r="Y162" s="72"/>
    </row>
    <row r="163" spans="1:25" x14ac:dyDescent="0.25">
      <c r="A163" s="23" t="s">
        <v>338</v>
      </c>
      <c r="B163" s="36">
        <v>36.1</v>
      </c>
      <c r="C163" s="32">
        <v>270</v>
      </c>
      <c r="D163" s="32">
        <v>135</v>
      </c>
      <c r="E163" s="32">
        <v>6.6</v>
      </c>
      <c r="F163" s="32">
        <v>10.199999999999999</v>
      </c>
      <c r="G163" s="33">
        <v>15</v>
      </c>
      <c r="H163">
        <v>4590</v>
      </c>
      <c r="I163" s="32">
        <v>249.6</v>
      </c>
      <c r="J163" s="32">
        <v>219.6</v>
      </c>
      <c r="K163" s="72">
        <v>57900000</v>
      </c>
      <c r="L163" s="72">
        <v>428900</v>
      </c>
      <c r="M163" s="72">
        <v>484000</v>
      </c>
      <c r="N163">
        <v>112.30000000000001</v>
      </c>
      <c r="O163">
        <v>2214</v>
      </c>
      <c r="P163" s="72">
        <v>4199000</v>
      </c>
      <c r="Q163" s="72">
        <v>62200</v>
      </c>
      <c r="R163" s="72">
        <v>96950</v>
      </c>
      <c r="S163">
        <v>30.2</v>
      </c>
      <c r="T163" s="32">
        <v>44.57</v>
      </c>
      <c r="U163" s="72">
        <v>159400</v>
      </c>
      <c r="V163" s="72">
        <v>70580000000</v>
      </c>
      <c r="W163" t="s">
        <v>369</v>
      </c>
      <c r="Y163" s="72"/>
    </row>
    <row r="164" spans="1:25" x14ac:dyDescent="0.25">
      <c r="A164" s="23" t="s">
        <v>311</v>
      </c>
      <c r="B164" s="36">
        <v>30.7</v>
      </c>
      <c r="C164" s="32">
        <v>267</v>
      </c>
      <c r="D164" s="32">
        <v>135</v>
      </c>
      <c r="E164" s="32">
        <v>5.5</v>
      </c>
      <c r="F164" s="32">
        <v>8.6999999999999993</v>
      </c>
      <c r="G164" s="33">
        <v>15</v>
      </c>
      <c r="H164">
        <v>3920.0000000000005</v>
      </c>
      <c r="I164" s="32">
        <v>249.6</v>
      </c>
      <c r="J164" s="32">
        <v>219.6</v>
      </c>
      <c r="K164" s="72">
        <v>49170000</v>
      </c>
      <c r="L164" s="72">
        <v>368300</v>
      </c>
      <c r="M164" s="72">
        <v>412500</v>
      </c>
      <c r="N164">
        <v>112.10000000000001</v>
      </c>
      <c r="O164">
        <v>1875</v>
      </c>
      <c r="P164" s="72">
        <v>3580000</v>
      </c>
      <c r="Q164" s="72">
        <v>53030</v>
      </c>
      <c r="R164" s="72">
        <v>82340</v>
      </c>
      <c r="S164">
        <v>30.2</v>
      </c>
      <c r="T164" s="32">
        <v>40.47</v>
      </c>
      <c r="U164" s="72">
        <v>103000</v>
      </c>
      <c r="V164" s="72">
        <v>59510000000</v>
      </c>
      <c r="W164" t="s">
        <v>369</v>
      </c>
      <c r="Y164" s="72"/>
    </row>
    <row r="165" spans="1:25" x14ac:dyDescent="0.25">
      <c r="A165" s="23" t="s">
        <v>312</v>
      </c>
      <c r="B165" s="36">
        <v>42.3</v>
      </c>
      <c r="C165" s="32">
        <v>274</v>
      </c>
      <c r="D165" s="32">
        <v>136</v>
      </c>
      <c r="E165" s="32">
        <v>7.5</v>
      </c>
      <c r="F165" s="32">
        <v>12.2</v>
      </c>
      <c r="G165" s="33">
        <v>15</v>
      </c>
      <c r="H165">
        <v>5380</v>
      </c>
      <c r="I165" s="32">
        <v>249.6</v>
      </c>
      <c r="J165" s="32">
        <v>219.6</v>
      </c>
      <c r="K165" s="72">
        <v>69470000</v>
      </c>
      <c r="L165" s="72">
        <v>507100</v>
      </c>
      <c r="M165" s="72">
        <v>574600</v>
      </c>
      <c r="N165">
        <v>113.6</v>
      </c>
      <c r="O165">
        <v>2523</v>
      </c>
      <c r="P165" s="72">
        <v>5135000</v>
      </c>
      <c r="Q165" s="72">
        <v>75510</v>
      </c>
      <c r="R165" s="72">
        <v>117700</v>
      </c>
      <c r="S165">
        <v>30.9</v>
      </c>
      <c r="T165" s="32">
        <v>49.47</v>
      </c>
      <c r="U165" s="72">
        <v>249000</v>
      </c>
      <c r="V165" s="72">
        <v>87640000000</v>
      </c>
      <c r="W165" t="s">
        <v>369</v>
      </c>
      <c r="Y165" s="72"/>
    </row>
    <row r="166" spans="1:25" x14ac:dyDescent="0.25">
      <c r="A166" s="23" t="s">
        <v>339</v>
      </c>
      <c r="B166" s="36">
        <v>42.2</v>
      </c>
      <c r="C166" s="32">
        <v>300</v>
      </c>
      <c r="D166" s="32">
        <v>150</v>
      </c>
      <c r="E166" s="32">
        <v>7.1</v>
      </c>
      <c r="F166" s="32">
        <v>10.7</v>
      </c>
      <c r="G166" s="33">
        <v>15</v>
      </c>
      <c r="H166">
        <v>5380</v>
      </c>
      <c r="I166" s="32">
        <v>278.60000000000002</v>
      </c>
      <c r="J166" s="32">
        <v>248.6</v>
      </c>
      <c r="K166" s="72">
        <v>83560000</v>
      </c>
      <c r="L166" s="72">
        <v>557100</v>
      </c>
      <c r="M166" s="72">
        <v>628400</v>
      </c>
      <c r="N166">
        <v>124.60000000000001</v>
      </c>
      <c r="O166">
        <v>2568</v>
      </c>
      <c r="P166" s="72">
        <v>6038000</v>
      </c>
      <c r="Q166" s="72">
        <v>80500</v>
      </c>
      <c r="R166" s="72">
        <v>125200</v>
      </c>
      <c r="S166">
        <v>33.5</v>
      </c>
      <c r="T166" s="32">
        <v>46.07</v>
      </c>
      <c r="U166" s="72">
        <v>201200</v>
      </c>
      <c r="V166" s="72">
        <v>125900000000</v>
      </c>
      <c r="W166" t="s">
        <v>369</v>
      </c>
      <c r="Y166" s="72"/>
    </row>
    <row r="167" spans="1:25" x14ac:dyDescent="0.25">
      <c r="A167" s="23" t="s">
        <v>313</v>
      </c>
      <c r="B167" s="36">
        <v>36.5</v>
      </c>
      <c r="C167" s="32">
        <v>297</v>
      </c>
      <c r="D167" s="32">
        <v>150</v>
      </c>
      <c r="E167" s="32">
        <v>6.1</v>
      </c>
      <c r="F167" s="32">
        <v>9.1999999999999993</v>
      </c>
      <c r="G167" s="33">
        <v>15</v>
      </c>
      <c r="H167">
        <v>4650</v>
      </c>
      <c r="I167" s="32">
        <v>278.60000000000002</v>
      </c>
      <c r="J167" s="32">
        <v>248.6</v>
      </c>
      <c r="K167" s="72">
        <v>71730000</v>
      </c>
      <c r="L167" s="72">
        <v>483100</v>
      </c>
      <c r="M167" s="72">
        <v>541800</v>
      </c>
      <c r="N167">
        <v>124.2</v>
      </c>
      <c r="O167">
        <v>2225</v>
      </c>
      <c r="P167" s="72">
        <v>5190000</v>
      </c>
      <c r="Q167" s="72">
        <v>69200</v>
      </c>
      <c r="R167" s="72">
        <v>107300</v>
      </c>
      <c r="S167">
        <v>33.4</v>
      </c>
      <c r="T167" s="32">
        <v>42.07</v>
      </c>
      <c r="U167" s="72">
        <v>134300</v>
      </c>
      <c r="V167" s="72">
        <v>107200000000</v>
      </c>
      <c r="W167" t="s">
        <v>369</v>
      </c>
      <c r="Y167" s="72"/>
    </row>
    <row r="168" spans="1:25" x14ac:dyDescent="0.25">
      <c r="A168" s="23" t="s">
        <v>314</v>
      </c>
      <c r="B168" s="36">
        <v>49.3</v>
      </c>
      <c r="C168" s="32">
        <v>304</v>
      </c>
      <c r="D168" s="32">
        <v>152</v>
      </c>
      <c r="E168" s="32">
        <v>8</v>
      </c>
      <c r="F168" s="32">
        <v>12.7</v>
      </c>
      <c r="G168" s="33">
        <v>15</v>
      </c>
      <c r="H168">
        <v>6280</v>
      </c>
      <c r="I168" s="32">
        <v>278.60000000000002</v>
      </c>
      <c r="J168" s="32">
        <v>248.6</v>
      </c>
      <c r="K168" s="72">
        <v>99940000</v>
      </c>
      <c r="L168" s="72">
        <v>657500</v>
      </c>
      <c r="M168" s="72">
        <v>743800</v>
      </c>
      <c r="N168">
        <v>126.1</v>
      </c>
      <c r="O168">
        <v>2905</v>
      </c>
      <c r="P168" s="72">
        <v>7457000</v>
      </c>
      <c r="Q168" s="72">
        <v>98120</v>
      </c>
      <c r="R168" s="72">
        <v>152600</v>
      </c>
      <c r="S168">
        <v>34.5</v>
      </c>
      <c r="T168" s="32">
        <v>50.97</v>
      </c>
      <c r="U168" s="72">
        <v>310600</v>
      </c>
      <c r="V168" s="72">
        <v>157700000000</v>
      </c>
      <c r="W168" t="s">
        <v>369</v>
      </c>
      <c r="Y168" s="72"/>
    </row>
    <row r="169" spans="1:25" x14ac:dyDescent="0.25">
      <c r="A169" s="23" t="s">
        <v>340</v>
      </c>
      <c r="B169" s="36">
        <v>49.1</v>
      </c>
      <c r="C169" s="32">
        <v>330</v>
      </c>
      <c r="D169" s="32">
        <v>160</v>
      </c>
      <c r="E169" s="32">
        <v>7.5</v>
      </c>
      <c r="F169" s="32">
        <v>11.5</v>
      </c>
      <c r="G169" s="33">
        <v>18</v>
      </c>
      <c r="H169">
        <v>6260</v>
      </c>
      <c r="I169" s="32">
        <v>307</v>
      </c>
      <c r="J169" s="32">
        <v>271</v>
      </c>
      <c r="K169" s="72">
        <v>117700000</v>
      </c>
      <c r="L169" s="72">
        <v>713100</v>
      </c>
      <c r="M169" s="72">
        <v>804300</v>
      </c>
      <c r="N169">
        <v>137.10000000000002</v>
      </c>
      <c r="O169">
        <v>3081</v>
      </c>
      <c r="P169" s="72">
        <v>7881000</v>
      </c>
      <c r="Q169" s="72">
        <v>98520</v>
      </c>
      <c r="R169" s="72">
        <v>153700</v>
      </c>
      <c r="S169">
        <v>35.5</v>
      </c>
      <c r="T169" s="32">
        <v>51.59</v>
      </c>
      <c r="U169" s="72">
        <v>281500</v>
      </c>
      <c r="V169" s="72">
        <v>199100000000</v>
      </c>
      <c r="W169" t="s">
        <v>369</v>
      </c>
      <c r="Y169" s="72"/>
    </row>
    <row r="170" spans="1:25" x14ac:dyDescent="0.25">
      <c r="A170" s="23" t="s">
        <v>315</v>
      </c>
      <c r="B170" s="36">
        <v>43</v>
      </c>
      <c r="C170" s="32">
        <v>327</v>
      </c>
      <c r="D170" s="32">
        <v>160</v>
      </c>
      <c r="E170" s="32">
        <v>6.5</v>
      </c>
      <c r="F170" s="32">
        <v>10</v>
      </c>
      <c r="G170" s="33">
        <v>18</v>
      </c>
      <c r="H170">
        <v>5470</v>
      </c>
      <c r="I170" s="32">
        <v>307</v>
      </c>
      <c r="J170" s="32">
        <v>271</v>
      </c>
      <c r="K170" s="72">
        <v>102300000</v>
      </c>
      <c r="L170" s="72">
        <v>625700</v>
      </c>
      <c r="M170" s="72">
        <v>701900</v>
      </c>
      <c r="N170">
        <v>136.69999999999999</v>
      </c>
      <c r="O170">
        <v>2699</v>
      </c>
      <c r="P170" s="72">
        <v>6852000</v>
      </c>
      <c r="Q170" s="72">
        <v>85640</v>
      </c>
      <c r="R170" s="72">
        <v>133300</v>
      </c>
      <c r="S170">
        <v>35.4</v>
      </c>
      <c r="T170" s="32">
        <v>47.59</v>
      </c>
      <c r="U170" s="72">
        <v>195700</v>
      </c>
      <c r="V170" s="72">
        <v>171500000000</v>
      </c>
      <c r="W170" t="s">
        <v>369</v>
      </c>
      <c r="Y170" s="72"/>
    </row>
    <row r="171" spans="1:25" x14ac:dyDescent="0.25">
      <c r="A171" s="23" t="s">
        <v>316</v>
      </c>
      <c r="B171" s="36">
        <v>57</v>
      </c>
      <c r="C171" s="32">
        <v>334</v>
      </c>
      <c r="D171" s="32">
        <v>162</v>
      </c>
      <c r="E171" s="32">
        <v>8.5</v>
      </c>
      <c r="F171" s="32">
        <v>13.5</v>
      </c>
      <c r="G171" s="33">
        <v>18</v>
      </c>
      <c r="H171">
        <v>7259.9999999999991</v>
      </c>
      <c r="I171" s="32">
        <v>307</v>
      </c>
      <c r="J171" s="32">
        <v>271</v>
      </c>
      <c r="K171" s="72">
        <v>139100000</v>
      </c>
      <c r="L171" s="72">
        <v>833000</v>
      </c>
      <c r="M171" s="72">
        <v>942800</v>
      </c>
      <c r="N171">
        <v>138.4</v>
      </c>
      <c r="O171">
        <v>3488.0000000000005</v>
      </c>
      <c r="P171" s="72">
        <v>9604000</v>
      </c>
      <c r="Q171" s="72">
        <v>118600</v>
      </c>
      <c r="R171" s="72">
        <v>185000</v>
      </c>
      <c r="S171">
        <v>36.4</v>
      </c>
      <c r="T171" s="32">
        <v>56.59</v>
      </c>
      <c r="U171" s="72">
        <v>421500</v>
      </c>
      <c r="V171" s="72">
        <v>245700000000</v>
      </c>
      <c r="W171" t="s">
        <v>369</v>
      </c>
      <c r="Y171" s="72"/>
    </row>
    <row r="172" spans="1:25" x14ac:dyDescent="0.25">
      <c r="A172" s="23" t="s">
        <v>341</v>
      </c>
      <c r="B172" s="36">
        <v>57.1</v>
      </c>
      <c r="C172" s="32">
        <v>360</v>
      </c>
      <c r="D172" s="32">
        <v>170</v>
      </c>
      <c r="E172" s="32">
        <v>8</v>
      </c>
      <c r="F172" s="32">
        <v>12.7</v>
      </c>
      <c r="G172" s="33">
        <v>18</v>
      </c>
      <c r="H172">
        <v>7270</v>
      </c>
      <c r="I172" s="32">
        <v>334.6</v>
      </c>
      <c r="J172" s="32">
        <v>298.60000000000002</v>
      </c>
      <c r="K172" s="72">
        <v>162700000</v>
      </c>
      <c r="L172" s="72">
        <v>903600</v>
      </c>
      <c r="M172" s="72">
        <v>1019000</v>
      </c>
      <c r="N172">
        <v>149.5</v>
      </c>
      <c r="O172">
        <v>3514</v>
      </c>
      <c r="P172" s="72">
        <v>10430000</v>
      </c>
      <c r="Q172" s="72">
        <v>122800</v>
      </c>
      <c r="R172" s="72">
        <v>191100</v>
      </c>
      <c r="S172">
        <v>37.9</v>
      </c>
      <c r="T172" s="32">
        <v>54.49</v>
      </c>
      <c r="U172" s="72">
        <v>373200</v>
      </c>
      <c r="V172" s="72">
        <v>313600000000</v>
      </c>
      <c r="W172" t="s">
        <v>369</v>
      </c>
      <c r="Y172" s="72"/>
    </row>
    <row r="173" spans="1:25" x14ac:dyDescent="0.25">
      <c r="A173" s="23" t="s">
        <v>317</v>
      </c>
      <c r="B173" s="36">
        <v>50.2</v>
      </c>
      <c r="C173" s="32">
        <v>357.6</v>
      </c>
      <c r="D173" s="32">
        <v>170</v>
      </c>
      <c r="E173" s="32">
        <v>6.6</v>
      </c>
      <c r="F173" s="32">
        <v>11.5</v>
      </c>
      <c r="G173" s="33">
        <v>18</v>
      </c>
      <c r="H173">
        <v>6400</v>
      </c>
      <c r="I173" s="32">
        <v>334.6</v>
      </c>
      <c r="J173" s="32">
        <v>298.60000000000002</v>
      </c>
      <c r="K173" s="72">
        <v>145200000</v>
      </c>
      <c r="L173" s="72">
        <v>811800</v>
      </c>
      <c r="M173" s="72">
        <v>906800</v>
      </c>
      <c r="N173">
        <v>150.6</v>
      </c>
      <c r="O173">
        <v>2976</v>
      </c>
      <c r="P173" s="72">
        <v>9443000</v>
      </c>
      <c r="Q173" s="72">
        <v>111100</v>
      </c>
      <c r="R173" s="72">
        <v>171900</v>
      </c>
      <c r="S173">
        <v>38.4</v>
      </c>
      <c r="T173" s="32">
        <v>50.69</v>
      </c>
      <c r="U173" s="72">
        <v>265100</v>
      </c>
      <c r="V173" s="72">
        <v>282000000000</v>
      </c>
      <c r="W173" t="s">
        <v>369</v>
      </c>
      <c r="Y173" s="72"/>
    </row>
    <row r="174" spans="1:25" x14ac:dyDescent="0.25">
      <c r="A174" s="23" t="s">
        <v>318</v>
      </c>
      <c r="B174" s="36">
        <v>66</v>
      </c>
      <c r="C174" s="32">
        <v>364</v>
      </c>
      <c r="D174" s="32">
        <v>172</v>
      </c>
      <c r="E174" s="32">
        <v>9.1999999999999993</v>
      </c>
      <c r="F174" s="32">
        <v>14.7</v>
      </c>
      <c r="G174" s="33">
        <v>18</v>
      </c>
      <c r="H174">
        <v>8410</v>
      </c>
      <c r="I174" s="32">
        <v>334.6</v>
      </c>
      <c r="J174" s="32">
        <v>298.60000000000002</v>
      </c>
      <c r="K174" s="72">
        <v>190500000</v>
      </c>
      <c r="L174" s="72">
        <v>1047000</v>
      </c>
      <c r="M174" s="72">
        <v>1186000</v>
      </c>
      <c r="N174">
        <v>150.5</v>
      </c>
      <c r="O174">
        <v>4021</v>
      </c>
      <c r="P174" s="72">
        <v>12510000</v>
      </c>
      <c r="Q174" s="72">
        <v>145500</v>
      </c>
      <c r="R174" s="72">
        <v>226900</v>
      </c>
      <c r="S174">
        <v>38.6</v>
      </c>
      <c r="T174" s="32">
        <v>59.69</v>
      </c>
      <c r="U174" s="72">
        <v>557600</v>
      </c>
      <c r="V174" s="72">
        <v>380300000000</v>
      </c>
      <c r="W174" t="s">
        <v>369</v>
      </c>
      <c r="Y174" s="72"/>
    </row>
    <row r="175" spans="1:25" x14ac:dyDescent="0.25">
      <c r="A175" s="23" t="s">
        <v>342</v>
      </c>
      <c r="B175" s="36">
        <v>66.3</v>
      </c>
      <c r="C175" s="32">
        <v>400</v>
      </c>
      <c r="D175" s="32">
        <v>180</v>
      </c>
      <c r="E175" s="32">
        <v>8.6</v>
      </c>
      <c r="F175" s="32">
        <v>13.5</v>
      </c>
      <c r="G175" s="33">
        <v>21</v>
      </c>
      <c r="H175">
        <v>8450</v>
      </c>
      <c r="I175" s="32">
        <v>373</v>
      </c>
      <c r="J175" s="32">
        <v>331</v>
      </c>
      <c r="K175" s="72">
        <v>231300000</v>
      </c>
      <c r="L175" s="72">
        <v>1160000</v>
      </c>
      <c r="M175" s="72">
        <v>1307000</v>
      </c>
      <c r="N175">
        <v>165.5</v>
      </c>
      <c r="O175">
        <v>4269</v>
      </c>
      <c r="P175" s="72">
        <v>13180000</v>
      </c>
      <c r="Q175" s="72">
        <v>146400</v>
      </c>
      <c r="R175" s="72">
        <v>229000</v>
      </c>
      <c r="S175">
        <v>39.5</v>
      </c>
      <c r="T175" s="27">
        <v>60.2</v>
      </c>
      <c r="U175" s="72">
        <v>510800</v>
      </c>
      <c r="V175" s="72">
        <v>490000000000</v>
      </c>
      <c r="W175" t="s">
        <v>369</v>
      </c>
      <c r="Y175" s="72"/>
    </row>
    <row r="176" spans="1:25" x14ac:dyDescent="0.25">
      <c r="A176" s="23" t="s">
        <v>319</v>
      </c>
      <c r="B176" s="36">
        <v>57.4</v>
      </c>
      <c r="C176" s="32">
        <v>397</v>
      </c>
      <c r="D176" s="32">
        <v>180</v>
      </c>
      <c r="E176" s="32">
        <v>7</v>
      </c>
      <c r="F176" s="32">
        <v>12</v>
      </c>
      <c r="G176" s="33">
        <v>21</v>
      </c>
      <c r="H176">
        <v>7309.9999999999991</v>
      </c>
      <c r="I176" s="32">
        <v>373</v>
      </c>
      <c r="J176" s="32">
        <v>331</v>
      </c>
      <c r="K176" s="72">
        <v>202900000</v>
      </c>
      <c r="L176" s="72">
        <v>1022000</v>
      </c>
      <c r="M176" s="72">
        <v>1144000</v>
      </c>
      <c r="N176">
        <v>166.6</v>
      </c>
      <c r="O176">
        <v>3578</v>
      </c>
      <c r="P176" s="72">
        <v>11710000</v>
      </c>
      <c r="Q176" s="72">
        <v>130100</v>
      </c>
      <c r="R176" s="72">
        <v>202100</v>
      </c>
      <c r="S176">
        <v>40</v>
      </c>
      <c r="T176" s="32">
        <v>55.6</v>
      </c>
      <c r="U176" s="72">
        <v>347900</v>
      </c>
      <c r="V176" s="72">
        <v>432200000000</v>
      </c>
      <c r="W176" t="s">
        <v>369</v>
      </c>
      <c r="Y176" s="72"/>
    </row>
    <row r="177" spans="1:25" x14ac:dyDescent="0.25">
      <c r="A177" s="23" t="s">
        <v>320</v>
      </c>
      <c r="B177" s="36">
        <v>75.7</v>
      </c>
      <c r="C177" s="32">
        <v>404</v>
      </c>
      <c r="D177" s="32">
        <v>182</v>
      </c>
      <c r="E177" s="32">
        <v>9.6999999999999993</v>
      </c>
      <c r="F177" s="32">
        <v>15.5</v>
      </c>
      <c r="G177" s="33">
        <v>21</v>
      </c>
      <c r="H177">
        <v>9640</v>
      </c>
      <c r="I177" s="32">
        <v>373</v>
      </c>
      <c r="J177" s="32">
        <v>331</v>
      </c>
      <c r="K177" s="72">
        <v>267500000</v>
      </c>
      <c r="L177" s="72">
        <v>1324000</v>
      </c>
      <c r="M177" s="72">
        <v>1502000</v>
      </c>
      <c r="N177">
        <v>166.6</v>
      </c>
      <c r="O177">
        <v>4798</v>
      </c>
      <c r="P177" s="72">
        <v>15640000</v>
      </c>
      <c r="Q177" s="72">
        <v>171900</v>
      </c>
      <c r="R177" s="72">
        <v>269100</v>
      </c>
      <c r="S177">
        <v>40.300000000000004</v>
      </c>
      <c r="T177" s="32">
        <v>65.3</v>
      </c>
      <c r="U177" s="72">
        <v>731000</v>
      </c>
      <c r="V177" s="72">
        <v>587600000000</v>
      </c>
      <c r="W177" t="s">
        <v>369</v>
      </c>
      <c r="Y177" s="72"/>
    </row>
    <row r="178" spans="1:25" x14ac:dyDescent="0.25">
      <c r="A178" s="23" t="s">
        <v>343</v>
      </c>
      <c r="B178" s="36">
        <v>77.599999999999994</v>
      </c>
      <c r="C178" s="32">
        <v>450</v>
      </c>
      <c r="D178" s="32">
        <v>190</v>
      </c>
      <c r="E178" s="32">
        <v>9.4</v>
      </c>
      <c r="F178" s="32">
        <v>14.6</v>
      </c>
      <c r="G178" s="33">
        <v>21</v>
      </c>
      <c r="H178">
        <v>9880</v>
      </c>
      <c r="I178" s="32">
        <v>420.8</v>
      </c>
      <c r="J178" s="32">
        <v>378.8</v>
      </c>
      <c r="K178" s="72">
        <v>337400000</v>
      </c>
      <c r="L178" s="72">
        <v>1500000</v>
      </c>
      <c r="M178" s="72">
        <v>1702000</v>
      </c>
      <c r="N178">
        <v>184.8</v>
      </c>
      <c r="O178">
        <v>5085</v>
      </c>
      <c r="P178" s="72">
        <v>16760000</v>
      </c>
      <c r="Q178" s="72">
        <v>176400</v>
      </c>
      <c r="R178" s="72">
        <v>276400</v>
      </c>
      <c r="S178">
        <v>41.2</v>
      </c>
      <c r="T178" s="32">
        <v>63.2</v>
      </c>
      <c r="U178" s="72">
        <v>668700</v>
      </c>
      <c r="V178" s="72">
        <v>791000000000</v>
      </c>
      <c r="W178" t="s">
        <v>369</v>
      </c>
      <c r="Y178" s="72"/>
    </row>
    <row r="179" spans="1:25" x14ac:dyDescent="0.25">
      <c r="A179" s="23" t="s">
        <v>321</v>
      </c>
      <c r="B179" s="36">
        <v>67.2</v>
      </c>
      <c r="C179" s="32">
        <v>447</v>
      </c>
      <c r="D179" s="32">
        <v>190</v>
      </c>
      <c r="E179" s="32">
        <v>7.6</v>
      </c>
      <c r="F179" s="32">
        <v>13.1</v>
      </c>
      <c r="G179" s="33">
        <v>21</v>
      </c>
      <c r="H179">
        <v>8560</v>
      </c>
      <c r="I179" s="32">
        <v>420.8</v>
      </c>
      <c r="J179" s="32">
        <v>378.8</v>
      </c>
      <c r="K179" s="72">
        <v>297600000</v>
      </c>
      <c r="L179" s="72">
        <v>1331000</v>
      </c>
      <c r="M179" s="72">
        <v>1494000</v>
      </c>
      <c r="N179">
        <v>186.5</v>
      </c>
      <c r="O179">
        <v>4226</v>
      </c>
      <c r="P179" s="72">
        <v>15020000</v>
      </c>
      <c r="Q179" s="72">
        <v>158100</v>
      </c>
      <c r="R179" s="72">
        <v>245700</v>
      </c>
      <c r="S179">
        <v>41.900000000000006</v>
      </c>
      <c r="T179" s="32">
        <v>58.4</v>
      </c>
      <c r="U179" s="72">
        <v>456700</v>
      </c>
      <c r="V179" s="72">
        <v>704900000000</v>
      </c>
      <c r="W179" t="s">
        <v>369</v>
      </c>
      <c r="Y179" s="72"/>
    </row>
    <row r="180" spans="1:25" x14ac:dyDescent="0.25">
      <c r="A180" s="23" t="s">
        <v>322</v>
      </c>
      <c r="B180" s="36">
        <v>92.4</v>
      </c>
      <c r="C180" s="32">
        <v>456</v>
      </c>
      <c r="D180" s="32">
        <v>192</v>
      </c>
      <c r="E180" s="32">
        <v>11</v>
      </c>
      <c r="F180" s="32">
        <v>17.600000000000001</v>
      </c>
      <c r="G180" s="33">
        <v>21</v>
      </c>
      <c r="H180">
        <v>11800</v>
      </c>
      <c r="I180" s="32">
        <v>420.8</v>
      </c>
      <c r="J180" s="32">
        <v>378.8</v>
      </c>
      <c r="K180" s="72">
        <v>409200000</v>
      </c>
      <c r="L180" s="72">
        <v>1795000</v>
      </c>
      <c r="M180" s="72">
        <v>2046000</v>
      </c>
      <c r="N180">
        <v>186.5</v>
      </c>
      <c r="O180">
        <v>5940</v>
      </c>
      <c r="P180" s="72">
        <v>20850000</v>
      </c>
      <c r="Q180" s="72">
        <v>217200</v>
      </c>
      <c r="R180" s="72">
        <v>341000</v>
      </c>
      <c r="S180">
        <v>42.1</v>
      </c>
      <c r="T180" s="32">
        <v>70.8</v>
      </c>
      <c r="U180" s="72">
        <v>1090000</v>
      </c>
      <c r="V180" s="72">
        <v>997600000000</v>
      </c>
      <c r="W180" t="s">
        <v>369</v>
      </c>
      <c r="Y180" s="72"/>
    </row>
    <row r="181" spans="1:25" x14ac:dyDescent="0.25">
      <c r="A181" s="23" t="s">
        <v>344</v>
      </c>
      <c r="B181" s="36">
        <v>90.7</v>
      </c>
      <c r="C181" s="32">
        <v>500</v>
      </c>
      <c r="D181" s="32">
        <v>200</v>
      </c>
      <c r="E181" s="32">
        <v>10.199999999999999</v>
      </c>
      <c r="F181" s="32">
        <v>16</v>
      </c>
      <c r="G181" s="33">
        <v>21</v>
      </c>
      <c r="H181">
        <v>11600</v>
      </c>
      <c r="I181" s="32">
        <v>468</v>
      </c>
      <c r="J181" s="32">
        <v>426</v>
      </c>
      <c r="K181" s="72">
        <v>482000000</v>
      </c>
      <c r="L181" s="72">
        <v>1930000</v>
      </c>
      <c r="M181" s="72">
        <v>2194000</v>
      </c>
      <c r="N181">
        <v>204.3</v>
      </c>
      <c r="O181">
        <v>5987</v>
      </c>
      <c r="P181" s="72">
        <v>21420000</v>
      </c>
      <c r="Q181" s="72">
        <v>214200</v>
      </c>
      <c r="R181" s="72">
        <v>335900</v>
      </c>
      <c r="S181">
        <v>43.099999999999994</v>
      </c>
      <c r="T181" s="32">
        <v>66.8</v>
      </c>
      <c r="U181" s="72">
        <v>892900.00000000012</v>
      </c>
      <c r="V181" s="72">
        <v>1249000000000</v>
      </c>
      <c r="W181" t="s">
        <v>369</v>
      </c>
      <c r="Y181" s="72"/>
    </row>
    <row r="182" spans="1:25" x14ac:dyDescent="0.25">
      <c r="A182" s="23" t="s">
        <v>323</v>
      </c>
      <c r="B182" s="36">
        <v>79.400000000000006</v>
      </c>
      <c r="C182" s="32">
        <v>497</v>
      </c>
      <c r="D182" s="32">
        <v>200</v>
      </c>
      <c r="E182" s="32">
        <v>8.4</v>
      </c>
      <c r="F182" s="32">
        <v>14.5</v>
      </c>
      <c r="G182" s="33">
        <v>21</v>
      </c>
      <c r="H182">
        <v>10100</v>
      </c>
      <c r="I182" s="32">
        <v>468</v>
      </c>
      <c r="J182" s="32">
        <v>426</v>
      </c>
      <c r="K182" s="72">
        <v>429300000</v>
      </c>
      <c r="L182" s="72">
        <v>1728000</v>
      </c>
      <c r="M182" s="72">
        <v>1946000</v>
      </c>
      <c r="N182">
        <v>206.1</v>
      </c>
      <c r="O182">
        <v>5041</v>
      </c>
      <c r="P182" s="72">
        <v>19390000</v>
      </c>
      <c r="Q182" s="72">
        <v>193900</v>
      </c>
      <c r="R182" s="72">
        <v>301600</v>
      </c>
      <c r="S182">
        <v>43.8</v>
      </c>
      <c r="T182" s="32">
        <v>62</v>
      </c>
      <c r="U182" s="72">
        <v>627800</v>
      </c>
      <c r="V182" s="72">
        <v>1125000000000</v>
      </c>
      <c r="W182" t="s">
        <v>369</v>
      </c>
      <c r="Y182" s="72"/>
    </row>
    <row r="183" spans="1:25" x14ac:dyDescent="0.25">
      <c r="A183" s="23" t="s">
        <v>324</v>
      </c>
      <c r="B183" s="36">
        <v>107</v>
      </c>
      <c r="C183" s="32">
        <v>506</v>
      </c>
      <c r="D183" s="32">
        <v>202</v>
      </c>
      <c r="E183" s="32">
        <v>12</v>
      </c>
      <c r="F183" s="32">
        <v>19</v>
      </c>
      <c r="G183" s="33">
        <v>21</v>
      </c>
      <c r="H183">
        <v>13700</v>
      </c>
      <c r="I183" s="32">
        <v>468</v>
      </c>
      <c r="J183" s="32">
        <v>426</v>
      </c>
      <c r="K183" s="72">
        <v>577800000</v>
      </c>
      <c r="L183" s="72">
        <v>2284000</v>
      </c>
      <c r="M183" s="72">
        <v>2613000</v>
      </c>
      <c r="N183">
        <v>205.6</v>
      </c>
      <c r="O183">
        <v>7020.9999999999991</v>
      </c>
      <c r="P183" s="72">
        <v>26220000</v>
      </c>
      <c r="Q183" s="72">
        <v>259600</v>
      </c>
      <c r="R183" s="72">
        <v>408500</v>
      </c>
      <c r="S183">
        <v>43.8</v>
      </c>
      <c r="T183" s="32">
        <v>74.599999999999994</v>
      </c>
      <c r="U183" s="72">
        <v>1435000</v>
      </c>
      <c r="V183" s="72">
        <v>1548000000000</v>
      </c>
      <c r="W183" t="s">
        <v>369</v>
      </c>
      <c r="Y183" s="72"/>
    </row>
    <row r="184" spans="1:25" x14ac:dyDescent="0.25">
      <c r="A184" s="23" t="s">
        <v>345</v>
      </c>
      <c r="B184" s="56">
        <v>106</v>
      </c>
      <c r="C184" s="32">
        <v>550</v>
      </c>
      <c r="D184" s="32">
        <v>210</v>
      </c>
      <c r="E184" s="32">
        <v>11.1</v>
      </c>
      <c r="F184" s="32">
        <v>17.2</v>
      </c>
      <c r="G184" s="33">
        <v>24</v>
      </c>
      <c r="H184">
        <v>13400</v>
      </c>
      <c r="I184" s="67">
        <v>515.6</v>
      </c>
      <c r="J184" s="32">
        <v>467.6</v>
      </c>
      <c r="K184" s="72">
        <v>671200000</v>
      </c>
      <c r="L184" s="72">
        <v>2440000</v>
      </c>
      <c r="M184" s="72">
        <v>2787000</v>
      </c>
      <c r="N184">
        <v>223.5</v>
      </c>
      <c r="O184">
        <v>7234</v>
      </c>
      <c r="P184" s="72">
        <v>26680000</v>
      </c>
      <c r="Q184" s="72">
        <v>254100</v>
      </c>
      <c r="R184" s="72">
        <v>400500</v>
      </c>
      <c r="S184">
        <v>44.5</v>
      </c>
      <c r="T184" s="27">
        <v>73.62</v>
      </c>
      <c r="U184" s="72">
        <v>1232000</v>
      </c>
      <c r="V184" s="72">
        <v>1884000000000</v>
      </c>
      <c r="W184" t="s">
        <v>369</v>
      </c>
      <c r="Y184" s="72"/>
    </row>
    <row r="185" spans="1:25" x14ac:dyDescent="0.25">
      <c r="A185" s="23" t="s">
        <v>325</v>
      </c>
      <c r="B185" s="36">
        <v>92.1</v>
      </c>
      <c r="C185" s="32">
        <v>547</v>
      </c>
      <c r="D185" s="32">
        <v>210</v>
      </c>
      <c r="E185" s="32">
        <v>9</v>
      </c>
      <c r="F185" s="32">
        <v>15.7</v>
      </c>
      <c r="G185" s="33">
        <v>24</v>
      </c>
      <c r="H185">
        <v>11700</v>
      </c>
      <c r="I185" s="32">
        <v>515.6</v>
      </c>
      <c r="J185" s="32">
        <v>467.6</v>
      </c>
      <c r="K185" s="72">
        <v>599800000</v>
      </c>
      <c r="L185" s="72">
        <v>2193000</v>
      </c>
      <c r="M185" s="72">
        <v>2475000</v>
      </c>
      <c r="N185">
        <v>226.1</v>
      </c>
      <c r="O185">
        <v>6030</v>
      </c>
      <c r="P185" s="72">
        <v>24320000</v>
      </c>
      <c r="Q185" s="72">
        <v>231600</v>
      </c>
      <c r="R185" s="72">
        <v>361500</v>
      </c>
      <c r="S185">
        <v>45.5</v>
      </c>
      <c r="T185" s="32">
        <v>68.52</v>
      </c>
      <c r="U185" s="72">
        <v>865300</v>
      </c>
      <c r="V185" s="72">
        <v>1710000000000</v>
      </c>
      <c r="W185" t="s">
        <v>369</v>
      </c>
      <c r="Y185" s="72"/>
    </row>
    <row r="186" spans="1:25" x14ac:dyDescent="0.25">
      <c r="A186" s="23" t="s">
        <v>326</v>
      </c>
      <c r="B186" s="36">
        <v>123</v>
      </c>
      <c r="C186" s="32">
        <v>556</v>
      </c>
      <c r="D186" s="32">
        <v>212</v>
      </c>
      <c r="E186" s="32">
        <v>12.7</v>
      </c>
      <c r="F186" s="32">
        <v>20.2</v>
      </c>
      <c r="G186" s="33">
        <v>24</v>
      </c>
      <c r="H186">
        <v>15600</v>
      </c>
      <c r="I186" s="32">
        <v>515.6</v>
      </c>
      <c r="J186" s="32">
        <v>467.6</v>
      </c>
      <c r="K186" s="72">
        <v>791600000</v>
      </c>
      <c r="L186" s="72">
        <v>2847000</v>
      </c>
      <c r="M186" s="72">
        <v>3263000</v>
      </c>
      <c r="N186">
        <v>225.2</v>
      </c>
      <c r="O186">
        <v>8269</v>
      </c>
      <c r="P186" s="72">
        <v>32240000</v>
      </c>
      <c r="Q186" s="72">
        <v>304200</v>
      </c>
      <c r="R186" s="72">
        <v>480500</v>
      </c>
      <c r="S186">
        <v>45.5</v>
      </c>
      <c r="T186" s="32">
        <v>81.22</v>
      </c>
      <c r="U186" s="72">
        <v>1875000</v>
      </c>
      <c r="V186" s="72">
        <v>2302000000000</v>
      </c>
      <c r="W186" t="s">
        <v>369</v>
      </c>
      <c r="Y186" s="72"/>
    </row>
    <row r="187" spans="1:25" x14ac:dyDescent="0.25">
      <c r="A187" s="23" t="s">
        <v>346</v>
      </c>
      <c r="B187" s="56">
        <v>122</v>
      </c>
      <c r="C187" s="32">
        <v>600</v>
      </c>
      <c r="D187" s="32">
        <v>220</v>
      </c>
      <c r="E187" s="32">
        <v>12</v>
      </c>
      <c r="F187" s="32">
        <v>19</v>
      </c>
      <c r="G187" s="33">
        <v>24</v>
      </c>
      <c r="H187">
        <v>15600</v>
      </c>
      <c r="I187" s="67">
        <v>562</v>
      </c>
      <c r="J187" s="32">
        <v>514</v>
      </c>
      <c r="K187" s="72">
        <v>920800000</v>
      </c>
      <c r="L187" s="72">
        <v>3070000</v>
      </c>
      <c r="M187" s="72">
        <v>3512000</v>
      </c>
      <c r="N187">
        <v>243</v>
      </c>
      <c r="O187">
        <v>8378</v>
      </c>
      <c r="P187" s="72">
        <v>33870000</v>
      </c>
      <c r="Q187" s="72">
        <v>307900</v>
      </c>
      <c r="R187" s="72">
        <v>485600</v>
      </c>
      <c r="S187">
        <v>46.6</v>
      </c>
      <c r="T187" s="27">
        <v>78.12</v>
      </c>
      <c r="U187" s="72">
        <v>1654000</v>
      </c>
      <c r="V187" s="72">
        <v>2846000000000</v>
      </c>
      <c r="W187" t="s">
        <v>369</v>
      </c>
      <c r="Y187" s="72"/>
    </row>
    <row r="188" spans="1:25" x14ac:dyDescent="0.25">
      <c r="A188" s="23" t="s">
        <v>327</v>
      </c>
      <c r="B188" s="36">
        <v>108</v>
      </c>
      <c r="C188" s="32">
        <v>597</v>
      </c>
      <c r="D188" s="32">
        <v>220</v>
      </c>
      <c r="E188" s="32">
        <v>9.8000000000000007</v>
      </c>
      <c r="F188" s="32">
        <v>17.5</v>
      </c>
      <c r="G188" s="33">
        <v>24</v>
      </c>
      <c r="H188">
        <v>13700</v>
      </c>
      <c r="I188" s="32">
        <v>562</v>
      </c>
      <c r="J188" s="32">
        <v>514</v>
      </c>
      <c r="K188" s="72">
        <v>829200000</v>
      </c>
      <c r="L188" s="72">
        <v>2778000</v>
      </c>
      <c r="M188" s="72">
        <v>3141000</v>
      </c>
      <c r="N188">
        <v>246</v>
      </c>
      <c r="O188">
        <v>7014</v>
      </c>
      <c r="P188" s="72">
        <v>31160000</v>
      </c>
      <c r="Q188" s="72">
        <v>283300</v>
      </c>
      <c r="R188" s="72">
        <v>442100</v>
      </c>
      <c r="S188">
        <v>47.699999999999996</v>
      </c>
      <c r="T188" s="32">
        <v>72.92</v>
      </c>
      <c r="U188" s="72">
        <v>1188000</v>
      </c>
      <c r="V188" s="72">
        <v>2607000000000</v>
      </c>
      <c r="W188" t="s">
        <v>369</v>
      </c>
      <c r="Y188" s="72"/>
    </row>
    <row r="189" spans="1:25" x14ac:dyDescent="0.25">
      <c r="A189" s="23" t="s">
        <v>328</v>
      </c>
      <c r="B189" s="36">
        <v>154</v>
      </c>
      <c r="C189" s="32">
        <v>610</v>
      </c>
      <c r="D189" s="32">
        <v>224</v>
      </c>
      <c r="E189" s="32">
        <v>15</v>
      </c>
      <c r="F189" s="32">
        <v>24</v>
      </c>
      <c r="G189" s="33">
        <v>24</v>
      </c>
      <c r="H189">
        <v>19700</v>
      </c>
      <c r="I189" s="32">
        <v>562</v>
      </c>
      <c r="J189" s="32">
        <v>514</v>
      </c>
      <c r="K189" s="72">
        <v>1183000000</v>
      </c>
      <c r="L189" s="72">
        <v>3879000</v>
      </c>
      <c r="M189" s="72">
        <v>4471000</v>
      </c>
      <c r="N189">
        <v>245.2</v>
      </c>
      <c r="O189">
        <v>10440</v>
      </c>
      <c r="P189" s="72">
        <v>45210000</v>
      </c>
      <c r="Q189" s="72">
        <v>403600</v>
      </c>
      <c r="R189" s="72">
        <v>640100</v>
      </c>
      <c r="S189">
        <v>47.9</v>
      </c>
      <c r="T189" s="32">
        <v>91.12</v>
      </c>
      <c r="U189" s="72">
        <v>3181000</v>
      </c>
      <c r="V189" s="72">
        <v>3860000000000</v>
      </c>
      <c r="W189" t="s">
        <v>369</v>
      </c>
      <c r="Y189" s="72"/>
    </row>
    <row r="190" spans="1:25" x14ac:dyDescent="0.25">
      <c r="A190" s="23" t="s">
        <v>162</v>
      </c>
      <c r="B190" s="24">
        <v>147</v>
      </c>
      <c r="C190" s="25">
        <v>753</v>
      </c>
      <c r="D190" s="32">
        <v>265</v>
      </c>
      <c r="E190" s="27">
        <v>13.2</v>
      </c>
      <c r="F190" s="27">
        <v>17</v>
      </c>
      <c r="G190" s="28">
        <v>17</v>
      </c>
      <c r="H190">
        <v>18800</v>
      </c>
      <c r="I190" s="27">
        <v>719</v>
      </c>
      <c r="J190" s="27">
        <v>685</v>
      </c>
      <c r="K190" s="72">
        <v>1661000000</v>
      </c>
      <c r="L190" s="72">
        <v>4411000</v>
      </c>
      <c r="M190" s="72">
        <v>5110000</v>
      </c>
      <c r="N190">
        <v>297.60000000000002</v>
      </c>
      <c r="O190">
        <v>10540</v>
      </c>
      <c r="P190" s="72">
        <v>52890000</v>
      </c>
      <c r="Q190" s="72">
        <v>399200</v>
      </c>
      <c r="R190" s="72">
        <v>630800</v>
      </c>
      <c r="S190">
        <v>53.099999999999994</v>
      </c>
      <c r="T190" s="34">
        <v>67.12</v>
      </c>
      <c r="U190" s="72">
        <v>1615000</v>
      </c>
      <c r="V190" s="72">
        <v>7141000000000</v>
      </c>
      <c r="W190" t="s">
        <v>369</v>
      </c>
      <c r="Y190" s="72"/>
    </row>
    <row r="191" spans="1:25" x14ac:dyDescent="0.25">
      <c r="A191" s="23" t="s">
        <v>163</v>
      </c>
      <c r="B191" s="24">
        <v>173</v>
      </c>
      <c r="C191" s="25">
        <v>762</v>
      </c>
      <c r="D191" s="32">
        <v>267</v>
      </c>
      <c r="E191" s="27">
        <v>14.4</v>
      </c>
      <c r="F191" s="27">
        <v>21.6</v>
      </c>
      <c r="G191" s="28">
        <v>17</v>
      </c>
      <c r="H191">
        <v>22100</v>
      </c>
      <c r="I191" s="27">
        <v>718.8</v>
      </c>
      <c r="J191" s="27">
        <v>684.8</v>
      </c>
      <c r="K191" s="72">
        <v>2058000000</v>
      </c>
      <c r="L191" s="72">
        <v>5402000</v>
      </c>
      <c r="M191" s="72">
        <v>6218000</v>
      </c>
      <c r="N191">
        <v>304.89999999999998</v>
      </c>
      <c r="O191">
        <v>11640</v>
      </c>
      <c r="P191" s="72">
        <v>68730000</v>
      </c>
      <c r="Q191" s="72">
        <v>514900</v>
      </c>
      <c r="R191" s="72">
        <v>809900</v>
      </c>
      <c r="S191">
        <v>55.7</v>
      </c>
      <c r="T191" s="34">
        <v>77.52</v>
      </c>
      <c r="U191" s="72">
        <v>2736000</v>
      </c>
      <c r="V191" s="72">
        <v>9391000000000</v>
      </c>
      <c r="W191" t="s">
        <v>369</v>
      </c>
      <c r="Y191" s="72"/>
    </row>
    <row r="192" spans="1:25" x14ac:dyDescent="0.25">
      <c r="A192" s="23" t="s">
        <v>164</v>
      </c>
      <c r="B192" s="24">
        <v>196</v>
      </c>
      <c r="C192" s="27">
        <v>770</v>
      </c>
      <c r="D192" s="26">
        <v>268</v>
      </c>
      <c r="E192" s="27">
        <v>15.6</v>
      </c>
      <c r="F192" s="27">
        <v>25.4</v>
      </c>
      <c r="G192" s="28">
        <v>17</v>
      </c>
      <c r="H192">
        <v>25100</v>
      </c>
      <c r="I192" s="27">
        <v>719.2</v>
      </c>
      <c r="J192" s="27">
        <v>685.2</v>
      </c>
      <c r="K192" s="72">
        <v>2403000000</v>
      </c>
      <c r="L192" s="72">
        <v>6241000</v>
      </c>
      <c r="M192" s="72">
        <v>7174000</v>
      </c>
      <c r="N192">
        <v>309.5</v>
      </c>
      <c r="O192">
        <v>12730</v>
      </c>
      <c r="P192" s="72">
        <v>81750000</v>
      </c>
      <c r="Q192" s="72">
        <v>610100</v>
      </c>
      <c r="R192" s="72">
        <v>958800</v>
      </c>
      <c r="S192">
        <v>57.1</v>
      </c>
      <c r="T192" s="27">
        <v>86.32</v>
      </c>
      <c r="U192" s="72">
        <v>4089000</v>
      </c>
      <c r="V192" s="72">
        <v>11290000000000</v>
      </c>
      <c r="W192" t="s">
        <v>369</v>
      </c>
      <c r="Y192" s="72"/>
    </row>
    <row r="193" spans="1:25" x14ac:dyDescent="0.25">
      <c r="A193" s="23" t="s">
        <v>329</v>
      </c>
      <c r="B193" s="36">
        <v>6</v>
      </c>
      <c r="C193" s="32">
        <v>80</v>
      </c>
      <c r="D193" s="32">
        <v>46</v>
      </c>
      <c r="E193" s="32">
        <v>3.8</v>
      </c>
      <c r="F193" s="32">
        <v>5.2</v>
      </c>
      <c r="G193" s="33">
        <v>5</v>
      </c>
      <c r="H193">
        <v>764</v>
      </c>
      <c r="I193" s="32">
        <v>69.599999999999994</v>
      </c>
      <c r="J193" s="32">
        <v>59.6</v>
      </c>
      <c r="K193" s="72">
        <v>801400</v>
      </c>
      <c r="L193" s="72">
        <v>20030</v>
      </c>
      <c r="M193" s="72">
        <v>23220</v>
      </c>
      <c r="N193">
        <v>32.400000000000006</v>
      </c>
      <c r="O193">
        <v>358</v>
      </c>
      <c r="P193" s="72">
        <v>84900</v>
      </c>
      <c r="Q193" s="72">
        <v>3690</v>
      </c>
      <c r="R193" s="72">
        <v>5820</v>
      </c>
      <c r="S193">
        <v>10.5</v>
      </c>
      <c r="T193" s="32">
        <v>20.100000000000001</v>
      </c>
      <c r="U193" s="72">
        <v>7000</v>
      </c>
      <c r="V193" s="72">
        <v>120000000</v>
      </c>
      <c r="W193" t="s">
        <v>369</v>
      </c>
      <c r="Y193" s="72"/>
    </row>
    <row r="194" spans="1:25" x14ac:dyDescent="0.25">
      <c r="A194" s="23" t="s">
        <v>290</v>
      </c>
      <c r="B194" s="36">
        <v>5</v>
      </c>
      <c r="C194" s="32">
        <v>78</v>
      </c>
      <c r="D194" s="32">
        <v>46</v>
      </c>
      <c r="E194" s="32">
        <v>3.3</v>
      </c>
      <c r="F194" s="32">
        <v>4.2</v>
      </c>
      <c r="G194" s="32">
        <v>5</v>
      </c>
      <c r="H194">
        <v>638</v>
      </c>
      <c r="I194" s="48">
        <v>69.599999999999994</v>
      </c>
      <c r="J194" s="32">
        <v>59.6</v>
      </c>
      <c r="K194" s="72">
        <v>643800</v>
      </c>
      <c r="L194" s="72">
        <v>16510</v>
      </c>
      <c r="M194" s="72">
        <v>18980</v>
      </c>
      <c r="N194">
        <v>31.8</v>
      </c>
      <c r="O194">
        <v>307</v>
      </c>
      <c r="P194" s="72">
        <v>68500</v>
      </c>
      <c r="Q194" s="72">
        <v>2980</v>
      </c>
      <c r="R194" s="72">
        <v>4690</v>
      </c>
      <c r="S194">
        <v>10.4</v>
      </c>
      <c r="T194" s="32">
        <v>17.600000000000001</v>
      </c>
      <c r="U194" s="72">
        <v>4200</v>
      </c>
      <c r="V194" s="72">
        <v>90000000</v>
      </c>
      <c r="W194" t="s">
        <v>369</v>
      </c>
      <c r="Y194" s="72"/>
    </row>
    <row r="195" spans="1:25" x14ac:dyDescent="0.25">
      <c r="A195" s="23" t="s">
        <v>289</v>
      </c>
      <c r="B195" s="36">
        <v>4.9000000000000004</v>
      </c>
      <c r="C195" s="32">
        <v>78</v>
      </c>
      <c r="D195" s="32">
        <v>46</v>
      </c>
      <c r="E195" s="32">
        <v>3.2</v>
      </c>
      <c r="F195" s="32">
        <v>4.2</v>
      </c>
      <c r="G195" s="32">
        <v>5</v>
      </c>
      <c r="H195">
        <v>631</v>
      </c>
      <c r="I195" s="48">
        <v>69.599999999999994</v>
      </c>
      <c r="J195" s="32">
        <v>59.6</v>
      </c>
      <c r="K195" s="72">
        <v>641000</v>
      </c>
      <c r="L195" s="72">
        <v>16440</v>
      </c>
      <c r="M195" s="72">
        <v>18860</v>
      </c>
      <c r="N195">
        <v>31.9</v>
      </c>
      <c r="O195">
        <v>300</v>
      </c>
      <c r="P195" s="72">
        <v>68500</v>
      </c>
      <c r="Q195" s="72">
        <v>2980</v>
      </c>
      <c r="R195" s="72">
        <v>4680</v>
      </c>
      <c r="S195">
        <v>10.4</v>
      </c>
      <c r="T195" s="32">
        <v>17.46</v>
      </c>
      <c r="U195" s="72">
        <v>4000</v>
      </c>
      <c r="V195" s="72">
        <v>90000000</v>
      </c>
      <c r="W195" t="s">
        <v>369</v>
      </c>
      <c r="Y195" s="72"/>
    </row>
    <row r="196" spans="1:25" x14ac:dyDescent="0.25">
      <c r="A196" s="23" t="s">
        <v>348</v>
      </c>
      <c r="B196" s="36">
        <v>8.34</v>
      </c>
      <c r="C196" s="32">
        <v>100</v>
      </c>
      <c r="D196" s="32">
        <v>50</v>
      </c>
      <c r="E196" s="32">
        <v>4.5</v>
      </c>
      <c r="F196" s="32">
        <v>6.8</v>
      </c>
      <c r="G196" s="32" t="s">
        <v>160</v>
      </c>
      <c r="H196">
        <v>1060</v>
      </c>
      <c r="I196" t="s">
        <v>368</v>
      </c>
      <c r="J196" s="32">
        <v>75.7</v>
      </c>
      <c r="K196" s="72">
        <v>1710000</v>
      </c>
      <c r="L196" s="72">
        <v>34200</v>
      </c>
      <c r="M196" s="72">
        <v>39800</v>
      </c>
      <c r="N196">
        <v>40.099999999999994</v>
      </c>
      <c r="O196">
        <v>484.99999999999994</v>
      </c>
      <c r="P196" s="72">
        <v>122000</v>
      </c>
      <c r="Q196" s="72">
        <v>4880</v>
      </c>
      <c r="R196" s="72">
        <v>8100</v>
      </c>
      <c r="S196">
        <v>10.700000000000001</v>
      </c>
      <c r="T196" s="27">
        <v>25</v>
      </c>
      <c r="U196" s="72">
        <v>16000</v>
      </c>
      <c r="V196" s="72">
        <v>270000000</v>
      </c>
      <c r="W196" t="s">
        <v>369</v>
      </c>
      <c r="Y196" s="72"/>
    </row>
    <row r="197" spans="1:25" x14ac:dyDescent="0.25">
      <c r="A197" s="35" t="s">
        <v>349</v>
      </c>
      <c r="B197" s="36">
        <v>11.1</v>
      </c>
      <c r="C197" s="40">
        <v>120</v>
      </c>
      <c r="D197" s="37">
        <v>58</v>
      </c>
      <c r="E197" s="37">
        <v>5.0999999999999996</v>
      </c>
      <c r="F197" s="37">
        <v>7.7</v>
      </c>
      <c r="G197" s="32" t="s">
        <v>160</v>
      </c>
      <c r="H197">
        <v>1420</v>
      </c>
      <c r="I197" t="s">
        <v>368</v>
      </c>
      <c r="J197" s="32">
        <v>92.4</v>
      </c>
      <c r="K197" s="72">
        <v>3280000</v>
      </c>
      <c r="L197" s="72">
        <v>54700</v>
      </c>
      <c r="M197" s="72">
        <v>63600</v>
      </c>
      <c r="N197">
        <v>48.099999999999994</v>
      </c>
      <c r="O197">
        <v>663</v>
      </c>
      <c r="P197" s="72">
        <v>215000</v>
      </c>
      <c r="Q197" s="72">
        <v>7410</v>
      </c>
      <c r="R197" s="72">
        <v>12400</v>
      </c>
      <c r="S197">
        <v>12.3</v>
      </c>
      <c r="T197" s="27">
        <v>28.4</v>
      </c>
      <c r="U197" s="72">
        <v>27100</v>
      </c>
      <c r="V197" s="72">
        <v>690000000</v>
      </c>
      <c r="W197" t="s">
        <v>369</v>
      </c>
      <c r="Y197" s="72"/>
    </row>
    <row r="198" spans="1:25" x14ac:dyDescent="0.25">
      <c r="A198" s="35" t="s">
        <v>350</v>
      </c>
      <c r="B198" s="36">
        <v>14.3</v>
      </c>
      <c r="C198" s="40">
        <v>140</v>
      </c>
      <c r="D198" s="37">
        <v>66</v>
      </c>
      <c r="E198" s="37">
        <v>5.7</v>
      </c>
      <c r="F198" s="37">
        <v>8.6</v>
      </c>
      <c r="G198" s="32" t="s">
        <v>160</v>
      </c>
      <c r="H198">
        <v>1820</v>
      </c>
      <c r="I198" t="s">
        <v>368</v>
      </c>
      <c r="J198" s="32">
        <v>109.1</v>
      </c>
      <c r="K198" s="72">
        <v>5730000</v>
      </c>
      <c r="L198" s="72">
        <v>81900</v>
      </c>
      <c r="M198" s="72">
        <v>95400</v>
      </c>
      <c r="N198">
        <v>56.1</v>
      </c>
      <c r="O198">
        <v>865</v>
      </c>
      <c r="P198" s="72">
        <v>352000</v>
      </c>
      <c r="Q198" s="72">
        <v>10700</v>
      </c>
      <c r="R198" s="72">
        <v>17900</v>
      </c>
      <c r="S198">
        <v>14</v>
      </c>
      <c r="T198" s="27">
        <v>31.8</v>
      </c>
      <c r="U198" s="72">
        <v>43200</v>
      </c>
      <c r="V198" s="72">
        <v>1540000000</v>
      </c>
      <c r="W198" t="s">
        <v>369</v>
      </c>
      <c r="Y198" s="72"/>
    </row>
    <row r="199" spans="1:25" x14ac:dyDescent="0.25">
      <c r="A199" s="35" t="s">
        <v>351</v>
      </c>
      <c r="B199" s="36">
        <v>17.899999999999999</v>
      </c>
      <c r="C199" s="40">
        <v>160</v>
      </c>
      <c r="D199" s="37">
        <v>74</v>
      </c>
      <c r="E199" s="37">
        <v>6.3</v>
      </c>
      <c r="F199" s="37">
        <v>9.5</v>
      </c>
      <c r="G199" s="32" t="s">
        <v>160</v>
      </c>
      <c r="H199">
        <v>2280</v>
      </c>
      <c r="I199" t="s">
        <v>368</v>
      </c>
      <c r="J199" s="32">
        <v>125.8</v>
      </c>
      <c r="K199" s="72">
        <v>9350000</v>
      </c>
      <c r="L199" s="72">
        <v>117000</v>
      </c>
      <c r="M199" s="72">
        <v>136000</v>
      </c>
      <c r="N199">
        <v>64</v>
      </c>
      <c r="O199">
        <v>1083</v>
      </c>
      <c r="P199" s="72">
        <v>547000</v>
      </c>
      <c r="Q199" s="72">
        <v>14800</v>
      </c>
      <c r="R199" s="72">
        <v>24900</v>
      </c>
      <c r="S199">
        <v>15.5</v>
      </c>
      <c r="T199" s="27">
        <v>35.200000000000003</v>
      </c>
      <c r="U199" s="72">
        <v>65700</v>
      </c>
      <c r="V199" s="72">
        <v>3140000000</v>
      </c>
      <c r="W199" t="s">
        <v>369</v>
      </c>
      <c r="Y199" s="72"/>
    </row>
    <row r="200" spans="1:25" x14ac:dyDescent="0.25">
      <c r="A200" s="35" t="s">
        <v>352</v>
      </c>
      <c r="B200" s="36">
        <v>21.9</v>
      </c>
      <c r="C200" s="40">
        <v>180</v>
      </c>
      <c r="D200" s="37">
        <v>82</v>
      </c>
      <c r="E200" s="37">
        <v>6.9</v>
      </c>
      <c r="F200" s="37">
        <v>10.4</v>
      </c>
      <c r="G200" s="32" t="s">
        <v>160</v>
      </c>
      <c r="H200">
        <v>2790</v>
      </c>
      <c r="I200" t="s">
        <v>368</v>
      </c>
      <c r="J200" s="32">
        <v>142.4</v>
      </c>
      <c r="K200" s="72">
        <v>14500000</v>
      </c>
      <c r="L200" s="72">
        <v>161000</v>
      </c>
      <c r="M200" s="72">
        <v>187000</v>
      </c>
      <c r="N200">
        <v>72</v>
      </c>
      <c r="O200">
        <v>1335</v>
      </c>
      <c r="P200" s="72">
        <v>813000</v>
      </c>
      <c r="Q200" s="72">
        <v>19800</v>
      </c>
      <c r="R200" s="72">
        <v>33200</v>
      </c>
      <c r="S200">
        <v>17.100000000000001</v>
      </c>
      <c r="T200" s="27">
        <v>38.6</v>
      </c>
      <c r="U200" s="72">
        <v>95800</v>
      </c>
      <c r="V200" s="72">
        <v>5920000000</v>
      </c>
      <c r="W200" t="s">
        <v>369</v>
      </c>
      <c r="Y200" s="72"/>
    </row>
    <row r="201" spans="1:25" x14ac:dyDescent="0.25">
      <c r="A201" s="35" t="s">
        <v>353</v>
      </c>
      <c r="B201" s="36">
        <v>26.2</v>
      </c>
      <c r="C201" s="40">
        <v>200</v>
      </c>
      <c r="D201" s="37">
        <v>90</v>
      </c>
      <c r="E201" s="37">
        <v>7.5</v>
      </c>
      <c r="F201" s="37">
        <v>11.3</v>
      </c>
      <c r="G201" s="32" t="s">
        <v>160</v>
      </c>
      <c r="H201">
        <v>3340</v>
      </c>
      <c r="I201" t="s">
        <v>368</v>
      </c>
      <c r="J201" s="32">
        <v>159.1</v>
      </c>
      <c r="K201" s="72">
        <v>21400000</v>
      </c>
      <c r="L201" s="72">
        <v>214000</v>
      </c>
      <c r="M201" s="72">
        <v>250000</v>
      </c>
      <c r="N201">
        <v>80</v>
      </c>
      <c r="O201">
        <v>1603</v>
      </c>
      <c r="P201" s="72">
        <v>1170000</v>
      </c>
      <c r="Q201" s="72">
        <v>26000</v>
      </c>
      <c r="R201" s="72">
        <v>43500</v>
      </c>
      <c r="S201">
        <v>18.700000000000003</v>
      </c>
      <c r="T201" s="27">
        <v>42</v>
      </c>
      <c r="U201" s="72">
        <v>135000</v>
      </c>
      <c r="V201" s="72">
        <v>10500000000</v>
      </c>
      <c r="W201" t="s">
        <v>369</v>
      </c>
      <c r="Y201" s="72"/>
    </row>
    <row r="202" spans="1:25" x14ac:dyDescent="0.25">
      <c r="A202" s="35" t="s">
        <v>354</v>
      </c>
      <c r="B202" s="36">
        <v>31.1</v>
      </c>
      <c r="C202" s="40">
        <v>220</v>
      </c>
      <c r="D202" s="37">
        <v>98</v>
      </c>
      <c r="E202" s="37">
        <v>8.1</v>
      </c>
      <c r="F202" s="37">
        <v>12.2</v>
      </c>
      <c r="G202" s="32" t="s">
        <v>160</v>
      </c>
      <c r="H202">
        <v>3950</v>
      </c>
      <c r="I202" t="s">
        <v>368</v>
      </c>
      <c r="J202" s="32">
        <v>175.8</v>
      </c>
      <c r="K202" s="72">
        <v>30600000</v>
      </c>
      <c r="L202" s="72">
        <v>278000</v>
      </c>
      <c r="M202" s="72">
        <v>324000</v>
      </c>
      <c r="N202">
        <v>88</v>
      </c>
      <c r="O202">
        <v>1905.9999999999998</v>
      </c>
      <c r="P202" s="72">
        <v>1620000</v>
      </c>
      <c r="Q202" s="72">
        <v>33100</v>
      </c>
      <c r="R202" s="72">
        <v>55700</v>
      </c>
      <c r="S202">
        <v>20.2</v>
      </c>
      <c r="T202" s="27">
        <v>45.4</v>
      </c>
      <c r="U202" s="72">
        <v>186000</v>
      </c>
      <c r="V202" s="72">
        <v>17800000000</v>
      </c>
      <c r="W202" t="s">
        <v>369</v>
      </c>
      <c r="Y202" s="72"/>
    </row>
    <row r="203" spans="1:25" x14ac:dyDescent="0.25">
      <c r="A203" s="35" t="s">
        <v>355</v>
      </c>
      <c r="B203" s="36">
        <v>36.200000000000003</v>
      </c>
      <c r="C203" s="40">
        <v>240</v>
      </c>
      <c r="D203" s="37">
        <v>106</v>
      </c>
      <c r="E203" s="37">
        <v>8.6999999999999993</v>
      </c>
      <c r="F203" s="37">
        <v>13.1</v>
      </c>
      <c r="G203" s="32" t="s">
        <v>160</v>
      </c>
      <c r="H203">
        <v>4610</v>
      </c>
      <c r="I203" t="s">
        <v>368</v>
      </c>
      <c r="J203" s="32">
        <v>192.5</v>
      </c>
      <c r="K203" s="72">
        <v>42500000</v>
      </c>
      <c r="L203" s="72">
        <v>354000</v>
      </c>
      <c r="M203" s="72">
        <v>412000</v>
      </c>
      <c r="N203">
        <v>95.9</v>
      </c>
      <c r="O203">
        <v>2233</v>
      </c>
      <c r="P203" s="72">
        <v>2210000</v>
      </c>
      <c r="Q203" s="72">
        <v>41700</v>
      </c>
      <c r="R203" s="72">
        <v>70000</v>
      </c>
      <c r="S203">
        <v>22</v>
      </c>
      <c r="T203" s="27">
        <v>48.9</v>
      </c>
      <c r="U203" s="72">
        <v>250000</v>
      </c>
      <c r="V203" s="72">
        <v>28700000000</v>
      </c>
      <c r="W203" t="s">
        <v>369</v>
      </c>
      <c r="Y203" s="72"/>
    </row>
    <row r="204" spans="1:25" x14ac:dyDescent="0.25">
      <c r="A204" s="35" t="s">
        <v>356</v>
      </c>
      <c r="B204" s="36">
        <v>41.9</v>
      </c>
      <c r="C204" s="40">
        <v>260</v>
      </c>
      <c r="D204" s="37">
        <v>113</v>
      </c>
      <c r="E204" s="37">
        <v>9.4</v>
      </c>
      <c r="F204" s="37">
        <v>14.1</v>
      </c>
      <c r="G204" s="32" t="s">
        <v>160</v>
      </c>
      <c r="H204">
        <v>5330</v>
      </c>
      <c r="I204" t="s">
        <v>368</v>
      </c>
      <c r="J204" s="32">
        <v>208.9</v>
      </c>
      <c r="K204" s="72">
        <v>57400000</v>
      </c>
      <c r="L204" s="72">
        <v>442000</v>
      </c>
      <c r="M204" s="72">
        <v>514000</v>
      </c>
      <c r="N204">
        <v>104</v>
      </c>
      <c r="O204">
        <v>2608</v>
      </c>
      <c r="P204" s="72">
        <v>2880000</v>
      </c>
      <c r="Q204" s="72">
        <v>51000</v>
      </c>
      <c r="R204" s="72">
        <v>85900</v>
      </c>
      <c r="S204">
        <v>23.2</v>
      </c>
      <c r="T204" s="27">
        <v>52.6</v>
      </c>
      <c r="U204" s="72">
        <v>335000</v>
      </c>
      <c r="V204" s="72">
        <v>44100000000</v>
      </c>
      <c r="W204" t="s">
        <v>369</v>
      </c>
      <c r="Y204" s="72"/>
    </row>
    <row r="205" spans="1:25" x14ac:dyDescent="0.25">
      <c r="A205" s="35" t="s">
        <v>357</v>
      </c>
      <c r="B205" s="24">
        <v>47.9</v>
      </c>
      <c r="C205" s="40">
        <v>280</v>
      </c>
      <c r="D205" s="37">
        <v>119</v>
      </c>
      <c r="E205" s="37">
        <v>10.1</v>
      </c>
      <c r="F205" s="37">
        <v>15.2</v>
      </c>
      <c r="G205" s="32" t="s">
        <v>160</v>
      </c>
      <c r="H205">
        <v>6100</v>
      </c>
      <c r="I205" t="s">
        <v>368</v>
      </c>
      <c r="J205" s="32">
        <v>225.1</v>
      </c>
      <c r="K205" s="72">
        <v>75900000</v>
      </c>
      <c r="L205" s="72">
        <v>542000</v>
      </c>
      <c r="M205" s="72">
        <v>632000</v>
      </c>
      <c r="N205">
        <v>111</v>
      </c>
      <c r="O205">
        <v>3018</v>
      </c>
      <c r="P205" s="72">
        <v>3640000</v>
      </c>
      <c r="Q205" s="72">
        <v>61200</v>
      </c>
      <c r="R205" s="72">
        <v>103000</v>
      </c>
      <c r="S205">
        <v>24.5</v>
      </c>
      <c r="T205" s="27">
        <v>56.4</v>
      </c>
      <c r="U205" s="72">
        <v>442000</v>
      </c>
      <c r="V205" s="72">
        <v>64599999999.999992</v>
      </c>
      <c r="W205" t="s">
        <v>369</v>
      </c>
      <c r="Y205" s="72"/>
    </row>
    <row r="206" spans="1:25" x14ac:dyDescent="0.25">
      <c r="A206" s="35" t="s">
        <v>358</v>
      </c>
      <c r="B206" s="24">
        <v>54.2</v>
      </c>
      <c r="C206" s="40">
        <v>300</v>
      </c>
      <c r="D206" s="37">
        <v>125</v>
      </c>
      <c r="E206" s="37">
        <v>10.8</v>
      </c>
      <c r="F206" s="37">
        <v>16.2</v>
      </c>
      <c r="G206" s="32" t="s">
        <v>160</v>
      </c>
      <c r="H206">
        <v>6900</v>
      </c>
      <c r="I206" t="s">
        <v>368</v>
      </c>
      <c r="J206" s="32">
        <v>241.6</v>
      </c>
      <c r="K206" s="72">
        <v>98000000</v>
      </c>
      <c r="L206" s="72">
        <v>653000</v>
      </c>
      <c r="M206" s="72">
        <v>762000</v>
      </c>
      <c r="N206">
        <v>119</v>
      </c>
      <c r="O206">
        <v>3458</v>
      </c>
      <c r="P206" s="72">
        <v>4510000</v>
      </c>
      <c r="Q206" s="72">
        <v>72200</v>
      </c>
      <c r="R206" s="72">
        <v>121000</v>
      </c>
      <c r="S206">
        <v>25.6</v>
      </c>
      <c r="T206" s="27">
        <v>60.1</v>
      </c>
      <c r="U206" s="72">
        <v>568000</v>
      </c>
      <c r="V206" s="72">
        <v>91800000000</v>
      </c>
      <c r="W206" t="s">
        <v>369</v>
      </c>
      <c r="Y206" s="72"/>
    </row>
    <row r="207" spans="1:25" x14ac:dyDescent="0.25">
      <c r="A207" s="35" t="s">
        <v>359</v>
      </c>
      <c r="B207" s="36">
        <v>61</v>
      </c>
      <c r="C207" s="40">
        <v>320</v>
      </c>
      <c r="D207" s="37">
        <v>131</v>
      </c>
      <c r="E207" s="37">
        <v>11.5</v>
      </c>
      <c r="F207" s="37">
        <v>17.3</v>
      </c>
      <c r="G207" s="32" t="s">
        <v>160</v>
      </c>
      <c r="H207">
        <v>7770</v>
      </c>
      <c r="I207" t="s">
        <v>368</v>
      </c>
      <c r="J207" s="32">
        <v>257.89999999999998</v>
      </c>
      <c r="K207" s="72">
        <v>125100000</v>
      </c>
      <c r="L207" s="72">
        <v>782000</v>
      </c>
      <c r="M207" s="72">
        <v>914000</v>
      </c>
      <c r="N207">
        <v>127</v>
      </c>
      <c r="O207">
        <v>3926</v>
      </c>
      <c r="P207" s="72">
        <v>5550000</v>
      </c>
      <c r="Q207" s="72">
        <v>84700</v>
      </c>
      <c r="R207" s="72">
        <v>143000</v>
      </c>
      <c r="S207">
        <v>26.7</v>
      </c>
      <c r="T207" s="27">
        <v>63.9</v>
      </c>
      <c r="U207" s="72">
        <v>725000</v>
      </c>
      <c r="V207" s="72">
        <v>129000000000</v>
      </c>
      <c r="W207" t="s">
        <v>369</v>
      </c>
      <c r="Y207" s="72"/>
    </row>
    <row r="208" spans="1:25" x14ac:dyDescent="0.25">
      <c r="A208" s="35" t="s">
        <v>360</v>
      </c>
      <c r="B208" s="24">
        <v>68</v>
      </c>
      <c r="C208" s="40">
        <v>340</v>
      </c>
      <c r="D208" s="37">
        <v>137</v>
      </c>
      <c r="E208" s="37">
        <v>12.2</v>
      </c>
      <c r="F208" s="37">
        <v>18.3</v>
      </c>
      <c r="G208" s="32" t="s">
        <v>160</v>
      </c>
      <c r="H208">
        <v>8670</v>
      </c>
      <c r="I208" t="s">
        <v>368</v>
      </c>
      <c r="J208" s="32">
        <v>274.3</v>
      </c>
      <c r="K208" s="72">
        <v>157000000</v>
      </c>
      <c r="L208" s="72">
        <v>923000</v>
      </c>
      <c r="M208" s="72">
        <v>1080000</v>
      </c>
      <c r="N208">
        <v>135</v>
      </c>
      <c r="O208">
        <v>4427</v>
      </c>
      <c r="P208" s="72">
        <v>6740000</v>
      </c>
      <c r="Q208" s="72">
        <v>98400</v>
      </c>
      <c r="R208" s="72">
        <v>166000</v>
      </c>
      <c r="S208">
        <v>28</v>
      </c>
      <c r="T208" s="27">
        <v>67.599999999999994</v>
      </c>
      <c r="U208" s="72">
        <v>904000</v>
      </c>
      <c r="V208" s="72">
        <v>176000000000</v>
      </c>
      <c r="W208" t="s">
        <v>369</v>
      </c>
      <c r="Y208" s="72"/>
    </row>
    <row r="209" spans="1:25" x14ac:dyDescent="0.25">
      <c r="A209" s="35" t="s">
        <v>361</v>
      </c>
      <c r="B209" s="36">
        <v>76.099999999999994</v>
      </c>
      <c r="C209" s="40">
        <v>360</v>
      </c>
      <c r="D209" s="37">
        <v>143</v>
      </c>
      <c r="E209" s="37">
        <v>13</v>
      </c>
      <c r="F209" s="37">
        <v>19.5</v>
      </c>
      <c r="G209" s="32" t="s">
        <v>160</v>
      </c>
      <c r="H209">
        <v>9700</v>
      </c>
      <c r="I209" t="s">
        <v>368</v>
      </c>
      <c r="J209" s="32">
        <v>290.2</v>
      </c>
      <c r="K209" s="72">
        <v>196100000</v>
      </c>
      <c r="L209" s="72">
        <v>1090000</v>
      </c>
      <c r="M209" s="72">
        <v>1276000</v>
      </c>
      <c r="N209">
        <v>142</v>
      </c>
      <c r="O209">
        <v>4995</v>
      </c>
      <c r="P209" s="72">
        <v>8180000</v>
      </c>
      <c r="Q209" s="72">
        <v>114000</v>
      </c>
      <c r="R209" s="72">
        <v>194000</v>
      </c>
      <c r="S209">
        <v>29</v>
      </c>
      <c r="T209" s="27">
        <v>71.8</v>
      </c>
      <c r="U209" s="72">
        <v>1150000</v>
      </c>
      <c r="V209" s="72">
        <v>240000000000</v>
      </c>
      <c r="W209" t="s">
        <v>369</v>
      </c>
      <c r="Y209" s="72"/>
    </row>
    <row r="210" spans="1:25" x14ac:dyDescent="0.25">
      <c r="A210" s="35" t="s">
        <v>362</v>
      </c>
      <c r="B210" s="36">
        <v>84</v>
      </c>
      <c r="C210" s="40">
        <v>380</v>
      </c>
      <c r="D210" s="37">
        <v>149</v>
      </c>
      <c r="E210" s="37">
        <v>13.7</v>
      </c>
      <c r="F210" s="37">
        <v>20.5</v>
      </c>
      <c r="G210" s="32" t="s">
        <v>160</v>
      </c>
      <c r="H210">
        <v>10700</v>
      </c>
      <c r="I210" t="s">
        <v>368</v>
      </c>
      <c r="J210" s="32">
        <v>306.7</v>
      </c>
      <c r="K210" s="72">
        <v>240100000</v>
      </c>
      <c r="L210" s="72">
        <v>1260000</v>
      </c>
      <c r="M210" s="72">
        <v>1482000</v>
      </c>
      <c r="N210">
        <v>150</v>
      </c>
      <c r="O210">
        <v>5555</v>
      </c>
      <c r="P210" s="72">
        <v>9750000</v>
      </c>
      <c r="Q210" s="72">
        <v>131000</v>
      </c>
      <c r="R210" s="72">
        <v>221000</v>
      </c>
      <c r="S210">
        <v>30.2</v>
      </c>
      <c r="T210" s="27">
        <v>75.400000000000006</v>
      </c>
      <c r="U210" s="72">
        <v>1410000</v>
      </c>
      <c r="V210" s="72">
        <v>319000000000</v>
      </c>
      <c r="W210" t="s">
        <v>369</v>
      </c>
      <c r="Y210" s="72"/>
    </row>
    <row r="211" spans="1:25" x14ac:dyDescent="0.25">
      <c r="A211" s="35" t="s">
        <v>363</v>
      </c>
      <c r="B211" s="36">
        <v>92.4</v>
      </c>
      <c r="C211" s="40">
        <v>400</v>
      </c>
      <c r="D211" s="37">
        <v>155</v>
      </c>
      <c r="E211" s="37">
        <v>14.4</v>
      </c>
      <c r="F211" s="37">
        <v>21.6</v>
      </c>
      <c r="G211" s="32" t="s">
        <v>160</v>
      </c>
      <c r="H211">
        <v>11800</v>
      </c>
      <c r="I211" t="s">
        <v>368</v>
      </c>
      <c r="J211" s="32">
        <v>322.89999999999998</v>
      </c>
      <c r="K211" s="72">
        <v>292100000</v>
      </c>
      <c r="L211" s="72">
        <v>1460000</v>
      </c>
      <c r="M211" s="72">
        <v>1714000</v>
      </c>
      <c r="N211">
        <v>157</v>
      </c>
      <c r="O211">
        <v>6169</v>
      </c>
      <c r="P211" s="72">
        <v>11600000</v>
      </c>
      <c r="Q211" s="72">
        <v>149000</v>
      </c>
      <c r="R211" s="72">
        <v>253000</v>
      </c>
      <c r="S211">
        <v>31.299999999999997</v>
      </c>
      <c r="T211" s="27">
        <v>79.3</v>
      </c>
      <c r="U211" s="72">
        <v>1700000</v>
      </c>
      <c r="V211" s="72">
        <v>420000000000</v>
      </c>
      <c r="W211" t="s">
        <v>369</v>
      </c>
      <c r="Y211" s="72"/>
    </row>
    <row r="212" spans="1:25" x14ac:dyDescent="0.25">
      <c r="A212" s="35" t="s">
        <v>364</v>
      </c>
      <c r="B212" s="36">
        <v>115</v>
      </c>
      <c r="C212" s="40">
        <v>450</v>
      </c>
      <c r="D212" s="37">
        <v>170</v>
      </c>
      <c r="E212" s="37">
        <v>16.2</v>
      </c>
      <c r="F212" s="37">
        <v>24.3</v>
      </c>
      <c r="G212" s="32" t="s">
        <v>160</v>
      </c>
      <c r="H212">
        <v>14700</v>
      </c>
      <c r="I212" t="s">
        <v>368</v>
      </c>
      <c r="J212" s="32">
        <v>363.6</v>
      </c>
      <c r="K212" s="72">
        <v>458500000</v>
      </c>
      <c r="L212" s="72">
        <v>2040000</v>
      </c>
      <c r="M212" s="72">
        <v>2400000</v>
      </c>
      <c r="N212">
        <v>177</v>
      </c>
      <c r="O212">
        <v>7779.0000000000009</v>
      </c>
      <c r="P212" s="72">
        <v>17300000</v>
      </c>
      <c r="Q212" s="72">
        <v>203000</v>
      </c>
      <c r="R212" s="72">
        <v>345000</v>
      </c>
      <c r="S212">
        <v>34.300000000000004</v>
      </c>
      <c r="T212" s="27">
        <v>88.9</v>
      </c>
      <c r="U212" s="72">
        <v>2670000</v>
      </c>
      <c r="V212" s="72">
        <v>791000000000</v>
      </c>
      <c r="W212" t="s">
        <v>369</v>
      </c>
      <c r="Y212" s="72"/>
    </row>
    <row r="213" spans="1:25" x14ac:dyDescent="0.25">
      <c r="A213" s="35" t="s">
        <v>365</v>
      </c>
      <c r="B213" s="36">
        <v>141</v>
      </c>
      <c r="C213" s="40">
        <v>500</v>
      </c>
      <c r="D213" s="37">
        <v>185</v>
      </c>
      <c r="E213" s="37">
        <v>18</v>
      </c>
      <c r="F213" s="37">
        <v>27</v>
      </c>
      <c r="G213" s="32" t="s">
        <v>160</v>
      </c>
      <c r="H213">
        <v>17900</v>
      </c>
      <c r="I213" t="s">
        <v>368</v>
      </c>
      <c r="J213" s="57">
        <v>404.3</v>
      </c>
      <c r="K213" s="72">
        <v>687400000</v>
      </c>
      <c r="L213" s="72">
        <v>2750000</v>
      </c>
      <c r="M213" s="72">
        <v>3240000</v>
      </c>
      <c r="N213">
        <v>196</v>
      </c>
      <c r="O213">
        <v>9560</v>
      </c>
      <c r="P213" s="72">
        <v>24800000</v>
      </c>
      <c r="Q213" s="72">
        <v>268000</v>
      </c>
      <c r="R213" s="72">
        <v>456000</v>
      </c>
      <c r="S213">
        <v>37.200000000000003</v>
      </c>
      <c r="T213" s="34">
        <v>98.5</v>
      </c>
      <c r="U213" s="72">
        <v>4020000</v>
      </c>
      <c r="V213" s="72">
        <v>1400000000000</v>
      </c>
      <c r="W213" t="s">
        <v>369</v>
      </c>
      <c r="Y213" s="72"/>
    </row>
    <row r="214" spans="1:25" x14ac:dyDescent="0.25">
      <c r="A214" s="58" t="s">
        <v>366</v>
      </c>
      <c r="B214" s="55">
        <v>166</v>
      </c>
      <c r="C214" s="62">
        <v>550</v>
      </c>
      <c r="D214" s="61">
        <v>200</v>
      </c>
      <c r="E214" s="61">
        <v>19</v>
      </c>
      <c r="F214" s="38">
        <v>30</v>
      </c>
      <c r="G214" s="26" t="s">
        <v>160</v>
      </c>
      <c r="H214">
        <v>21200</v>
      </c>
      <c r="I214" t="s">
        <v>368</v>
      </c>
      <c r="J214" s="27">
        <v>445.6</v>
      </c>
      <c r="K214" s="72">
        <v>991800000</v>
      </c>
      <c r="L214" s="72">
        <v>3610000</v>
      </c>
      <c r="M214" s="72">
        <v>4240000</v>
      </c>
      <c r="N214">
        <v>216</v>
      </c>
      <c r="O214">
        <v>11130</v>
      </c>
      <c r="P214" s="72">
        <v>34900000</v>
      </c>
      <c r="Q214" s="72">
        <v>349000</v>
      </c>
      <c r="R214" s="72">
        <v>592000</v>
      </c>
      <c r="S214">
        <v>40.199999999999996</v>
      </c>
      <c r="T214" s="27">
        <v>107.3</v>
      </c>
      <c r="U214" s="72">
        <v>5440000</v>
      </c>
      <c r="V214" s="72">
        <v>2390000000000</v>
      </c>
      <c r="W214" t="s">
        <v>369</v>
      </c>
      <c r="Y214" s="72"/>
    </row>
    <row r="215" spans="1:25" x14ac:dyDescent="0.25">
      <c r="A215" s="58" t="s">
        <v>367</v>
      </c>
      <c r="B215" s="55">
        <v>199</v>
      </c>
      <c r="C215" s="26">
        <v>600</v>
      </c>
      <c r="D215" s="26">
        <v>215</v>
      </c>
      <c r="E215" s="26">
        <v>21.6</v>
      </c>
      <c r="F215" s="26">
        <v>32.4</v>
      </c>
      <c r="G215" s="54" t="s">
        <v>160</v>
      </c>
      <c r="H215">
        <v>25400</v>
      </c>
      <c r="I215" t="s">
        <v>368</v>
      </c>
      <c r="J215" s="27">
        <v>485.8</v>
      </c>
      <c r="K215" s="72">
        <v>1390000000</v>
      </c>
      <c r="L215" s="72">
        <v>4630000</v>
      </c>
      <c r="M215" s="72">
        <v>5452000</v>
      </c>
      <c r="N215">
        <v>233.9</v>
      </c>
      <c r="O215">
        <v>13800</v>
      </c>
      <c r="P215" s="72">
        <v>46700000</v>
      </c>
      <c r="Q215" s="72">
        <v>434000</v>
      </c>
      <c r="R215" s="72">
        <v>752000</v>
      </c>
      <c r="S215">
        <v>43</v>
      </c>
      <c r="T215" s="27">
        <v>117.6</v>
      </c>
      <c r="U215" s="72">
        <v>7870000</v>
      </c>
      <c r="V215" s="72">
        <v>3814000000000</v>
      </c>
      <c r="W215" t="s">
        <v>369</v>
      </c>
      <c r="Y215" s="72"/>
    </row>
    <row r="216" spans="1:25" x14ac:dyDescent="0.25">
      <c r="A216" s="35" t="s">
        <v>347</v>
      </c>
      <c r="B216" s="36">
        <v>5.94</v>
      </c>
      <c r="C216" s="32">
        <v>80</v>
      </c>
      <c r="D216" s="32">
        <v>42</v>
      </c>
      <c r="E216" s="32">
        <v>3.9</v>
      </c>
      <c r="F216" s="32">
        <v>5.9</v>
      </c>
      <c r="G216" s="33" t="s">
        <v>160</v>
      </c>
      <c r="H216">
        <v>757</v>
      </c>
      <c r="I216" t="s">
        <v>368</v>
      </c>
      <c r="J216" s="32">
        <v>59</v>
      </c>
      <c r="K216" s="72">
        <v>778000</v>
      </c>
      <c r="L216" s="72">
        <v>19500</v>
      </c>
      <c r="M216" s="72">
        <v>22800</v>
      </c>
      <c r="N216">
        <v>32</v>
      </c>
      <c r="O216">
        <v>341</v>
      </c>
      <c r="P216" s="72">
        <v>62900</v>
      </c>
      <c r="Q216" s="72">
        <v>3000</v>
      </c>
      <c r="R216" s="72">
        <v>5000</v>
      </c>
      <c r="S216">
        <v>9.1</v>
      </c>
      <c r="T216" s="27">
        <v>21.6</v>
      </c>
      <c r="U216" s="72">
        <v>8700</v>
      </c>
      <c r="V216" s="72">
        <v>90000000</v>
      </c>
      <c r="W216" t="s">
        <v>369</v>
      </c>
      <c r="Y216" s="72"/>
    </row>
    <row r="217" spans="1:25" x14ac:dyDescent="0.25">
      <c r="A217" s="58"/>
      <c r="B217" s="55"/>
      <c r="C217" s="26"/>
      <c r="D217" s="26"/>
      <c r="E217" s="26"/>
      <c r="F217" s="26"/>
      <c r="G217" s="54"/>
      <c r="H217" s="28"/>
      <c r="I217" s="27"/>
      <c r="J217" s="27"/>
      <c r="K217" s="25"/>
      <c r="L217" s="25"/>
      <c r="M217" s="25"/>
      <c r="N217" s="31"/>
      <c r="O217" s="28"/>
      <c r="P217" s="25"/>
      <c r="Q217" s="25"/>
      <c r="R217" s="25"/>
      <c r="S217" s="29"/>
      <c r="T217" s="27"/>
      <c r="U217" s="25"/>
      <c r="V217" s="45"/>
    </row>
    <row r="218" spans="1:25" x14ac:dyDescent="0.25">
      <c r="A218" s="58"/>
      <c r="B218" s="55"/>
      <c r="C218" s="26"/>
      <c r="D218" s="26"/>
      <c r="E218" s="26"/>
      <c r="F218" s="26"/>
      <c r="G218" s="54"/>
      <c r="H218" s="28"/>
      <c r="I218" s="27"/>
      <c r="J218" s="27"/>
      <c r="K218" s="25"/>
      <c r="L218" s="25"/>
      <c r="M218" s="25"/>
      <c r="N218" s="31"/>
      <c r="O218" s="28"/>
      <c r="P218" s="25"/>
      <c r="Q218" s="25"/>
      <c r="R218" s="25"/>
      <c r="S218" s="29"/>
      <c r="T218" s="27"/>
      <c r="U218" s="25"/>
      <c r="V218" s="45"/>
    </row>
    <row r="219" spans="1:25" x14ac:dyDescent="0.25">
      <c r="A219" s="58"/>
      <c r="B219" s="55"/>
      <c r="C219" s="26"/>
      <c r="D219" s="26"/>
      <c r="E219" s="27"/>
      <c r="F219" s="27"/>
      <c r="G219" s="54"/>
      <c r="H219" s="28"/>
      <c r="I219" s="27"/>
      <c r="J219" s="27"/>
      <c r="K219" s="25"/>
      <c r="L219" s="25"/>
      <c r="M219" s="25"/>
      <c r="N219" s="31"/>
      <c r="O219" s="28"/>
      <c r="P219" s="25"/>
      <c r="Q219" s="25"/>
      <c r="R219" s="25"/>
      <c r="S219" s="29"/>
      <c r="T219" s="27"/>
      <c r="U219" s="25"/>
      <c r="V219" s="45"/>
    </row>
    <row r="220" spans="1:25" x14ac:dyDescent="0.25">
      <c r="A220" s="58"/>
      <c r="B220" s="55"/>
      <c r="C220" s="26"/>
      <c r="D220" s="26"/>
      <c r="E220" s="27"/>
      <c r="F220" s="27"/>
      <c r="G220" s="54"/>
      <c r="H220" s="28"/>
      <c r="I220" s="27"/>
      <c r="J220" s="27"/>
      <c r="K220" s="25"/>
      <c r="L220" s="25"/>
      <c r="M220" s="25"/>
      <c r="N220" s="31"/>
      <c r="O220" s="28"/>
      <c r="P220" s="25"/>
      <c r="Q220" s="25"/>
      <c r="R220" s="25"/>
      <c r="S220" s="29"/>
      <c r="T220" s="27"/>
      <c r="U220" s="25"/>
      <c r="V220" s="45"/>
    </row>
    <row r="221" spans="1:25" x14ac:dyDescent="0.25">
      <c r="A221" s="58"/>
      <c r="B221" s="55"/>
      <c r="C221" s="26"/>
      <c r="D221" s="26"/>
      <c r="E221" s="27"/>
      <c r="F221" s="27"/>
      <c r="G221" s="54"/>
      <c r="H221" s="28"/>
      <c r="I221" s="27"/>
      <c r="J221" s="27"/>
      <c r="K221" s="25"/>
      <c r="L221" s="25"/>
      <c r="M221" s="25"/>
      <c r="N221" s="31"/>
      <c r="O221" s="28"/>
      <c r="P221" s="25"/>
      <c r="Q221" s="25"/>
      <c r="R221" s="25"/>
      <c r="S221" s="29"/>
      <c r="T221" s="27"/>
      <c r="U221" s="25"/>
      <c r="V221" s="45"/>
    </row>
    <row r="222" spans="1:25" x14ac:dyDescent="0.25">
      <c r="A222" s="58"/>
      <c r="B222" s="55"/>
      <c r="C222" s="26"/>
      <c r="D222" s="26"/>
      <c r="E222" s="27"/>
      <c r="F222" s="27"/>
      <c r="G222" s="54"/>
      <c r="H222" s="28"/>
      <c r="I222" s="27"/>
      <c r="J222" s="27"/>
      <c r="K222" s="25"/>
      <c r="L222" s="25"/>
      <c r="M222" s="25"/>
      <c r="N222" s="25"/>
      <c r="O222" s="25"/>
      <c r="P222" s="25"/>
      <c r="Q222" s="25"/>
      <c r="R222" s="25"/>
      <c r="S222" s="25"/>
      <c r="T222" s="25"/>
      <c r="U222" s="25"/>
      <c r="V222" s="25"/>
    </row>
    <row r="223" spans="1:25" x14ac:dyDescent="0.25">
      <c r="A223" s="58"/>
      <c r="B223" s="55"/>
      <c r="C223" s="26"/>
      <c r="D223" s="26"/>
      <c r="E223" s="27"/>
      <c r="F223" s="27"/>
      <c r="G223" s="54"/>
      <c r="H223" s="28"/>
      <c r="I223" s="27"/>
      <c r="J223" s="27"/>
      <c r="K223" s="25"/>
      <c r="L223" s="25"/>
      <c r="M223" s="25"/>
      <c r="N223" s="25"/>
      <c r="O223" s="25"/>
      <c r="P223" s="25"/>
      <c r="Q223" s="25"/>
      <c r="R223" s="25"/>
      <c r="S223" s="25"/>
      <c r="T223" s="25"/>
      <c r="U223" s="25"/>
      <c r="V223" s="25"/>
    </row>
    <row r="224" spans="1:25" x14ac:dyDescent="0.25">
      <c r="A224" s="58"/>
      <c r="B224" s="55"/>
      <c r="C224" s="26"/>
      <c r="D224" s="26"/>
      <c r="E224" s="27"/>
      <c r="F224" s="27"/>
      <c r="G224" s="54"/>
      <c r="H224" s="28"/>
      <c r="I224" s="27"/>
      <c r="J224" s="27"/>
      <c r="K224" s="25"/>
      <c r="L224" s="25"/>
      <c r="M224" s="25"/>
      <c r="N224" s="25"/>
      <c r="O224" s="25"/>
      <c r="P224" s="25"/>
      <c r="Q224" s="25"/>
      <c r="R224" s="25"/>
      <c r="S224" s="25"/>
      <c r="T224" s="25"/>
      <c r="U224" s="25"/>
      <c r="V224" s="25"/>
    </row>
    <row r="225" spans="1:22" x14ac:dyDescent="0.25">
      <c r="A225" s="58"/>
      <c r="B225" s="55"/>
      <c r="C225" s="26"/>
      <c r="D225" s="26"/>
      <c r="E225" s="27"/>
      <c r="F225" s="27"/>
      <c r="G225" s="54"/>
      <c r="H225" s="30"/>
      <c r="I225" s="27"/>
      <c r="J225" s="27"/>
      <c r="K225" s="25"/>
      <c r="L225" s="25"/>
      <c r="M225" s="25"/>
      <c r="N225" s="25"/>
      <c r="O225" s="25"/>
      <c r="P225" s="25"/>
      <c r="Q225" s="25"/>
      <c r="R225" s="25"/>
      <c r="S225" s="25"/>
      <c r="T225" s="25"/>
      <c r="U225" s="25"/>
      <c r="V225" s="25"/>
    </row>
    <row r="226" spans="1:22" x14ac:dyDescent="0.25">
      <c r="A226" s="58"/>
      <c r="B226" s="36"/>
      <c r="C226" s="32"/>
      <c r="D226" s="32"/>
      <c r="E226" s="27"/>
      <c r="F226" s="27"/>
      <c r="G226" s="33"/>
      <c r="H226" s="28"/>
      <c r="I226" s="27"/>
      <c r="J226" s="27"/>
      <c r="K226" s="25"/>
      <c r="L226" s="25"/>
      <c r="M226" s="25"/>
      <c r="N226" s="25"/>
      <c r="O226" s="25"/>
      <c r="P226" s="25"/>
      <c r="Q226" s="25"/>
      <c r="R226" s="25"/>
      <c r="S226" s="25"/>
      <c r="T226" s="25"/>
      <c r="U226" s="25"/>
      <c r="V226" s="25"/>
    </row>
    <row r="227" spans="1:22" x14ac:dyDescent="0.25">
      <c r="A227" s="58"/>
      <c r="B227" s="36"/>
      <c r="C227" s="32"/>
      <c r="D227" s="32"/>
      <c r="E227" s="27"/>
      <c r="F227" s="27"/>
      <c r="G227" s="33"/>
      <c r="H227" s="28"/>
      <c r="I227" s="27"/>
      <c r="J227" s="27"/>
      <c r="K227" s="25"/>
      <c r="L227" s="25"/>
      <c r="M227" s="25"/>
      <c r="N227" s="25"/>
      <c r="O227" s="25"/>
      <c r="P227" s="25"/>
      <c r="Q227" s="25"/>
      <c r="R227" s="25"/>
      <c r="S227" s="25"/>
      <c r="T227" s="25"/>
      <c r="U227" s="25"/>
      <c r="V227" s="25"/>
    </row>
    <row r="228" spans="1:22" x14ac:dyDescent="0.25">
      <c r="A228" s="58"/>
      <c r="B228" s="36"/>
      <c r="C228" s="32"/>
      <c r="D228" s="32"/>
      <c r="E228" s="27"/>
      <c r="F228" s="27"/>
      <c r="G228" s="33"/>
      <c r="H228" s="28"/>
      <c r="I228" s="27"/>
      <c r="J228" s="27"/>
      <c r="K228" s="25"/>
      <c r="L228" s="25"/>
      <c r="M228" s="25"/>
      <c r="N228" s="25"/>
      <c r="O228" s="25"/>
      <c r="P228" s="25"/>
      <c r="Q228" s="25"/>
      <c r="R228" s="25"/>
      <c r="S228" s="25"/>
      <c r="T228" s="25"/>
      <c r="U228" s="25"/>
      <c r="V228" s="25"/>
    </row>
    <row r="229" spans="1:22" x14ac:dyDescent="0.25">
      <c r="A229" s="58"/>
      <c r="B229" s="36"/>
      <c r="C229" s="32"/>
      <c r="D229" s="32"/>
      <c r="E229" s="27"/>
      <c r="F229" s="27"/>
      <c r="G229" s="33"/>
      <c r="H229" s="28"/>
      <c r="I229" s="27"/>
      <c r="J229" s="27"/>
      <c r="K229" s="25"/>
      <c r="L229" s="25"/>
      <c r="M229" s="25"/>
      <c r="N229" s="25"/>
      <c r="O229" s="25"/>
      <c r="P229" s="25"/>
      <c r="Q229" s="25"/>
      <c r="R229" s="25"/>
      <c r="S229" s="25"/>
      <c r="T229" s="25"/>
      <c r="U229" s="25"/>
      <c r="V229" s="25"/>
    </row>
    <row r="230" spans="1:22" x14ac:dyDescent="0.25">
      <c r="A230" s="58"/>
      <c r="B230" s="36"/>
      <c r="C230" s="32"/>
      <c r="D230" s="32"/>
      <c r="E230" s="27"/>
      <c r="F230" s="27"/>
      <c r="G230" s="33"/>
      <c r="H230" s="28"/>
      <c r="I230" s="27"/>
      <c r="J230" s="27"/>
      <c r="K230" s="25"/>
      <c r="L230" s="25"/>
      <c r="M230" s="25"/>
      <c r="N230" s="25"/>
      <c r="O230" s="25"/>
      <c r="P230" s="25"/>
      <c r="Q230" s="25"/>
      <c r="R230" s="25"/>
      <c r="S230" s="25"/>
      <c r="T230" s="25"/>
      <c r="U230" s="25"/>
      <c r="V230" s="25"/>
    </row>
    <row r="231" spans="1:22" x14ac:dyDescent="0.25">
      <c r="A231" s="58"/>
      <c r="B231" s="36"/>
      <c r="C231" s="32"/>
      <c r="D231" s="32"/>
      <c r="E231" s="27"/>
      <c r="F231" s="27"/>
      <c r="G231" s="33"/>
      <c r="H231" s="28"/>
      <c r="I231" s="27"/>
      <c r="J231" s="27"/>
      <c r="K231" s="25"/>
      <c r="L231" s="25"/>
      <c r="M231" s="25"/>
      <c r="N231" s="25"/>
      <c r="O231" s="25"/>
      <c r="P231" s="25"/>
      <c r="Q231" s="25"/>
      <c r="R231" s="25"/>
      <c r="S231" s="25"/>
      <c r="T231" s="25"/>
      <c r="U231" s="25"/>
      <c r="V231" s="25"/>
    </row>
    <row r="232" spans="1:22" x14ac:dyDescent="0.25">
      <c r="A232" s="58"/>
      <c r="B232" s="36"/>
      <c r="C232" s="32"/>
      <c r="D232" s="32"/>
      <c r="E232" s="27"/>
      <c r="F232" s="27"/>
      <c r="G232" s="33"/>
      <c r="H232" s="28"/>
      <c r="I232" s="27"/>
      <c r="J232" s="27"/>
      <c r="K232" s="25"/>
      <c r="L232" s="25"/>
      <c r="M232" s="25"/>
      <c r="N232" s="25"/>
      <c r="O232" s="25"/>
      <c r="P232" s="25"/>
      <c r="Q232" s="25"/>
      <c r="R232" s="25"/>
      <c r="S232" s="25"/>
      <c r="T232" s="25"/>
      <c r="U232" s="25"/>
      <c r="V232" s="25"/>
    </row>
    <row r="233" spans="1:22" x14ac:dyDescent="0.25">
      <c r="A233" s="58"/>
      <c r="B233" s="36"/>
      <c r="C233" s="32"/>
      <c r="D233" s="32"/>
      <c r="E233" s="27"/>
      <c r="F233" s="27"/>
      <c r="G233" s="33"/>
      <c r="H233" s="28"/>
      <c r="I233" s="27"/>
      <c r="J233" s="27"/>
      <c r="K233" s="25"/>
      <c r="L233" s="25"/>
      <c r="M233" s="25"/>
      <c r="N233" s="25"/>
      <c r="O233" s="25"/>
      <c r="P233" s="25"/>
      <c r="Q233" s="25"/>
      <c r="R233" s="25"/>
      <c r="S233" s="25"/>
      <c r="T233" s="25"/>
      <c r="U233" s="25"/>
      <c r="V233" s="25"/>
    </row>
    <row r="234" spans="1:22" x14ac:dyDescent="0.25">
      <c r="A234" s="58"/>
      <c r="B234" s="36"/>
      <c r="C234" s="32"/>
      <c r="D234" s="32"/>
      <c r="E234" s="27"/>
      <c r="F234" s="27"/>
      <c r="G234" s="33"/>
      <c r="H234" s="28"/>
      <c r="I234" s="27"/>
      <c r="J234" s="27"/>
      <c r="K234" s="25"/>
      <c r="L234" s="25"/>
      <c r="M234" s="25"/>
      <c r="N234" s="25"/>
      <c r="O234" s="25"/>
      <c r="P234" s="25"/>
      <c r="Q234" s="25"/>
      <c r="R234" s="25"/>
      <c r="S234" s="25"/>
      <c r="T234" s="25"/>
      <c r="U234" s="25"/>
      <c r="V234" s="25"/>
    </row>
    <row r="235" spans="1:22" x14ac:dyDescent="0.25">
      <c r="A235" s="58"/>
      <c r="B235" s="36"/>
      <c r="C235" s="32"/>
      <c r="D235" s="32"/>
      <c r="E235" s="27"/>
      <c r="F235" s="27"/>
      <c r="G235" s="33"/>
      <c r="H235" s="28"/>
      <c r="I235" s="27"/>
      <c r="J235" s="27"/>
      <c r="K235" s="25"/>
      <c r="L235" s="25"/>
      <c r="M235" s="25"/>
      <c r="N235" s="25"/>
      <c r="O235" s="25"/>
      <c r="P235" s="25"/>
      <c r="Q235" s="25"/>
      <c r="R235" s="25"/>
      <c r="S235" s="25"/>
      <c r="T235" s="25"/>
      <c r="U235" s="25"/>
      <c r="V235" s="25"/>
    </row>
    <row r="236" spans="1:22" x14ac:dyDescent="0.25">
      <c r="A236" s="58"/>
      <c r="B236" s="36"/>
      <c r="C236" s="32"/>
      <c r="D236" s="32"/>
      <c r="E236" s="27"/>
      <c r="F236" s="27"/>
      <c r="G236" s="33"/>
      <c r="H236" s="30"/>
      <c r="I236" s="27"/>
      <c r="J236" s="27"/>
      <c r="K236" s="25"/>
      <c r="L236" s="25"/>
      <c r="M236" s="25"/>
      <c r="N236" s="25"/>
      <c r="O236" s="25"/>
      <c r="P236" s="25"/>
      <c r="Q236" s="25"/>
      <c r="R236" s="25"/>
      <c r="S236" s="25"/>
      <c r="T236" s="25"/>
      <c r="U236" s="25"/>
      <c r="V236" s="25"/>
    </row>
    <row r="237" spans="1:22" x14ac:dyDescent="0.25">
      <c r="A237" s="58"/>
      <c r="B237" s="36"/>
      <c r="C237" s="32"/>
      <c r="D237" s="32"/>
      <c r="E237" s="27"/>
      <c r="F237" s="27"/>
      <c r="G237" s="33"/>
      <c r="H237" s="30"/>
      <c r="I237" s="27"/>
      <c r="J237" s="27"/>
      <c r="K237" s="25"/>
      <c r="L237" s="25"/>
      <c r="M237" s="25"/>
      <c r="N237" s="25"/>
      <c r="O237" s="25"/>
      <c r="P237" s="25"/>
      <c r="Q237" s="25"/>
      <c r="R237" s="25"/>
      <c r="S237" s="25"/>
      <c r="T237" s="25"/>
      <c r="U237" s="25"/>
      <c r="V237" s="25"/>
    </row>
    <row r="238" spans="1:22" x14ac:dyDescent="0.25">
      <c r="A238" s="58"/>
      <c r="B238" s="36"/>
      <c r="C238" s="32"/>
      <c r="D238" s="32"/>
      <c r="E238" s="27"/>
      <c r="F238" s="27"/>
      <c r="G238" s="33"/>
      <c r="H238" s="28"/>
      <c r="I238" s="27"/>
      <c r="J238" s="27"/>
      <c r="K238" s="25"/>
      <c r="L238" s="25"/>
      <c r="M238" s="25"/>
      <c r="N238" s="25"/>
      <c r="O238" s="25"/>
      <c r="P238" s="25"/>
      <c r="Q238" s="25"/>
      <c r="R238" s="25"/>
      <c r="S238" s="25"/>
      <c r="T238" s="25"/>
      <c r="U238" s="25"/>
      <c r="V238" s="25"/>
    </row>
    <row r="239" spans="1:22" x14ac:dyDescent="0.25">
      <c r="A239" s="58"/>
      <c r="B239" s="36"/>
      <c r="C239" s="32"/>
      <c r="D239" s="32"/>
      <c r="E239" s="27"/>
      <c r="F239" s="27"/>
      <c r="G239" s="33"/>
      <c r="H239" s="28"/>
      <c r="I239" s="27"/>
      <c r="J239" s="27"/>
      <c r="K239" s="25"/>
      <c r="L239" s="25"/>
      <c r="M239" s="25"/>
      <c r="N239" s="25"/>
      <c r="O239" s="25"/>
      <c r="P239" s="25"/>
      <c r="Q239" s="25"/>
      <c r="R239" s="25"/>
      <c r="S239" s="25"/>
      <c r="T239" s="25"/>
      <c r="U239" s="25"/>
      <c r="V239" s="25"/>
    </row>
    <row r="240" spans="1:22" x14ac:dyDescent="0.25">
      <c r="A240" s="58"/>
      <c r="B240" s="36"/>
      <c r="C240" s="32"/>
      <c r="D240" s="32"/>
      <c r="E240" s="27"/>
      <c r="F240" s="27"/>
      <c r="G240" s="33"/>
      <c r="H240" s="28"/>
      <c r="I240" s="27"/>
      <c r="J240" s="27"/>
      <c r="K240" s="25"/>
      <c r="L240" s="25"/>
      <c r="M240" s="25"/>
      <c r="N240" s="25"/>
      <c r="O240" s="25"/>
      <c r="P240" s="25"/>
      <c r="Q240" s="25"/>
      <c r="R240" s="25"/>
      <c r="S240" s="25"/>
      <c r="T240" s="25"/>
      <c r="U240" s="25"/>
      <c r="V240" s="25"/>
    </row>
    <row r="241" spans="1:22" x14ac:dyDescent="0.25">
      <c r="A241" s="58"/>
      <c r="B241" s="36"/>
      <c r="C241" s="32"/>
      <c r="D241" s="32"/>
      <c r="E241" s="27"/>
      <c r="F241" s="27"/>
      <c r="G241" s="33"/>
      <c r="H241" s="28"/>
      <c r="I241" s="27"/>
      <c r="J241" s="27"/>
      <c r="K241" s="25"/>
      <c r="L241" s="25"/>
      <c r="M241" s="25"/>
      <c r="N241" s="25"/>
      <c r="O241" s="25"/>
      <c r="P241" s="25"/>
      <c r="Q241" s="25"/>
      <c r="R241" s="25"/>
      <c r="S241" s="25"/>
      <c r="T241" s="25"/>
      <c r="U241" s="25"/>
      <c r="V241" s="25"/>
    </row>
    <row r="242" spans="1:22" x14ac:dyDescent="0.25">
      <c r="A242" s="58"/>
      <c r="B242" s="36"/>
      <c r="C242" s="32"/>
      <c r="D242" s="32"/>
      <c r="E242" s="27"/>
      <c r="F242" s="27"/>
      <c r="G242" s="33"/>
      <c r="H242" s="28"/>
      <c r="I242" s="27"/>
      <c r="J242" s="27"/>
      <c r="K242" s="25"/>
      <c r="L242" s="25"/>
      <c r="M242" s="25"/>
      <c r="N242" s="25"/>
      <c r="O242" s="25"/>
      <c r="P242" s="25"/>
      <c r="Q242" s="25"/>
      <c r="R242" s="25"/>
      <c r="S242" s="25"/>
      <c r="T242" s="25"/>
      <c r="U242" s="25"/>
      <c r="V242" s="25"/>
    </row>
    <row r="243" spans="1:22" x14ac:dyDescent="0.25">
      <c r="A243" s="58"/>
      <c r="B243" s="36"/>
      <c r="C243" s="32"/>
      <c r="D243" s="32"/>
      <c r="E243" s="27"/>
      <c r="F243" s="27"/>
      <c r="G243" s="33"/>
      <c r="H243" s="28"/>
      <c r="I243" s="27"/>
      <c r="J243" s="27"/>
      <c r="K243" s="25"/>
      <c r="L243" s="25"/>
      <c r="M243" s="25"/>
      <c r="N243" s="25"/>
      <c r="O243" s="25"/>
      <c r="P243" s="25"/>
      <c r="Q243" s="25"/>
      <c r="R243" s="25"/>
      <c r="S243" s="25"/>
      <c r="T243" s="25"/>
      <c r="U243" s="25"/>
      <c r="V243" s="25"/>
    </row>
    <row r="244" spans="1:22" x14ac:dyDescent="0.25">
      <c r="A244" s="23"/>
      <c r="B244" s="36"/>
      <c r="C244" s="32"/>
      <c r="D244" s="32"/>
      <c r="E244" s="27"/>
      <c r="F244" s="27"/>
      <c r="G244" s="33"/>
      <c r="H244" s="28"/>
      <c r="I244" s="27"/>
      <c r="J244" s="27"/>
      <c r="K244" s="25"/>
      <c r="L244" s="25"/>
      <c r="M244" s="25"/>
      <c r="N244" s="25"/>
      <c r="O244" s="25"/>
      <c r="P244" s="25"/>
      <c r="Q244" s="25"/>
      <c r="R244" s="25"/>
      <c r="S244" s="25"/>
      <c r="T244" s="25"/>
      <c r="U244" s="25"/>
      <c r="V244" s="25"/>
    </row>
    <row r="245" spans="1:22" x14ac:dyDescent="0.25">
      <c r="A245" s="23"/>
      <c r="B245" s="36"/>
      <c r="C245" s="32"/>
      <c r="D245" s="32"/>
      <c r="E245" s="27"/>
      <c r="F245" s="27"/>
      <c r="G245" s="33"/>
      <c r="H245" s="28"/>
      <c r="I245" s="27"/>
      <c r="J245" s="27"/>
      <c r="K245" s="25"/>
      <c r="L245" s="25"/>
      <c r="M245" s="25"/>
      <c r="N245" s="25"/>
      <c r="O245" s="25"/>
      <c r="P245" s="25"/>
      <c r="Q245" s="25"/>
      <c r="R245" s="25"/>
      <c r="S245" s="25"/>
      <c r="T245" s="25"/>
      <c r="U245" s="25"/>
      <c r="V245" s="25"/>
    </row>
    <row r="246" spans="1:22" x14ac:dyDescent="0.25">
      <c r="A246" s="23"/>
      <c r="B246" s="36"/>
      <c r="C246" s="32"/>
      <c r="D246" s="32"/>
      <c r="E246" s="27"/>
      <c r="F246" s="27"/>
      <c r="G246" s="33"/>
      <c r="H246" s="28"/>
      <c r="I246" s="27"/>
      <c r="J246" s="27"/>
      <c r="K246" s="25"/>
      <c r="L246" s="25"/>
      <c r="M246" s="25"/>
      <c r="N246" s="25"/>
      <c r="O246" s="25"/>
      <c r="P246" s="25"/>
      <c r="Q246" s="25"/>
      <c r="R246" s="25"/>
      <c r="S246" s="25"/>
      <c r="T246" s="25"/>
      <c r="U246" s="25"/>
      <c r="V246" s="25"/>
    </row>
    <row r="247" spans="1:22" x14ac:dyDescent="0.25">
      <c r="A247" s="23"/>
      <c r="B247" s="36"/>
      <c r="C247" s="32"/>
      <c r="D247" s="32"/>
      <c r="E247" s="27"/>
      <c r="F247" s="27"/>
      <c r="G247" s="33"/>
      <c r="H247" s="28"/>
      <c r="I247" s="27"/>
      <c r="J247" s="27"/>
      <c r="K247" s="25"/>
      <c r="L247" s="25"/>
      <c r="M247" s="25"/>
      <c r="N247" s="25"/>
      <c r="O247" s="25"/>
      <c r="P247" s="25"/>
      <c r="Q247" s="25"/>
      <c r="R247" s="25"/>
      <c r="S247" s="25"/>
      <c r="T247" s="25"/>
      <c r="U247" s="25"/>
      <c r="V247" s="25"/>
    </row>
    <row r="248" spans="1:22" x14ac:dyDescent="0.25">
      <c r="A248" s="23"/>
      <c r="B248" s="36"/>
      <c r="C248" s="32"/>
      <c r="D248" s="32"/>
      <c r="E248" s="27"/>
      <c r="F248" s="27"/>
      <c r="G248" s="33"/>
      <c r="H248" s="28"/>
      <c r="I248" s="27"/>
      <c r="J248" s="27"/>
      <c r="K248" s="25"/>
      <c r="L248" s="25"/>
      <c r="M248" s="25"/>
      <c r="N248" s="31"/>
      <c r="O248" s="28"/>
      <c r="P248" s="25"/>
      <c r="Q248" s="25"/>
      <c r="R248" s="25"/>
      <c r="S248" s="29"/>
      <c r="T248" s="27"/>
      <c r="U248" s="25"/>
      <c r="V248" s="45"/>
    </row>
    <row r="249" spans="1:22" x14ac:dyDescent="0.25">
      <c r="A249" s="23"/>
      <c r="B249" s="36"/>
      <c r="C249" s="32"/>
      <c r="D249" s="32"/>
      <c r="E249" s="27"/>
      <c r="F249" s="27"/>
      <c r="G249" s="33"/>
      <c r="H249" s="30"/>
      <c r="I249" s="27"/>
      <c r="J249" s="27"/>
      <c r="K249" s="25"/>
      <c r="L249" s="25"/>
      <c r="M249" s="25"/>
      <c r="N249" s="31"/>
      <c r="O249" s="28"/>
      <c r="P249" s="25"/>
      <c r="Q249" s="25"/>
      <c r="R249" s="25"/>
      <c r="S249" s="29"/>
      <c r="T249" s="27"/>
      <c r="U249" s="25"/>
      <c r="V249" s="45"/>
    </row>
    <row r="250" spans="1:22" x14ac:dyDescent="0.25">
      <c r="A250" s="23"/>
      <c r="B250" s="36"/>
      <c r="C250" s="32"/>
      <c r="D250" s="32"/>
      <c r="E250" s="27"/>
      <c r="F250" s="27"/>
      <c r="G250" s="33"/>
      <c r="H250" s="28"/>
      <c r="I250" s="32"/>
      <c r="J250" s="27"/>
      <c r="K250" s="25"/>
      <c r="L250" s="25"/>
      <c r="M250" s="25"/>
      <c r="N250" s="31"/>
      <c r="O250" s="28"/>
      <c r="P250" s="25"/>
      <c r="Q250" s="25"/>
      <c r="R250" s="25"/>
      <c r="S250" s="29"/>
      <c r="T250" s="27"/>
      <c r="U250" s="25"/>
      <c r="V250" s="45"/>
    </row>
    <row r="251" spans="1:22" x14ac:dyDescent="0.25">
      <c r="A251" s="23"/>
      <c r="B251" s="36"/>
      <c r="C251" s="32"/>
      <c r="D251" s="32"/>
      <c r="E251" s="27"/>
      <c r="F251" s="27"/>
      <c r="G251" s="33"/>
      <c r="H251" s="28"/>
      <c r="I251" s="32"/>
      <c r="J251" s="27"/>
      <c r="K251" s="25"/>
      <c r="L251" s="25"/>
      <c r="M251" s="25"/>
      <c r="N251" s="31"/>
      <c r="O251" s="28"/>
      <c r="P251" s="25"/>
      <c r="Q251" s="25"/>
      <c r="R251" s="25"/>
      <c r="S251" s="29"/>
      <c r="T251" s="27"/>
      <c r="U251" s="25"/>
      <c r="V251" s="45"/>
    </row>
    <row r="252" spans="1:22" x14ac:dyDescent="0.25">
      <c r="A252" s="23"/>
      <c r="B252" s="36"/>
      <c r="C252" s="32"/>
      <c r="D252" s="32"/>
      <c r="E252" s="27"/>
      <c r="F252" s="27"/>
      <c r="G252" s="33"/>
      <c r="H252" s="28"/>
      <c r="I252" s="32"/>
      <c r="J252" s="27"/>
      <c r="K252" s="25"/>
      <c r="L252" s="25"/>
      <c r="M252" s="25"/>
      <c r="N252" s="31"/>
      <c r="O252" s="28"/>
      <c r="P252" s="25"/>
      <c r="Q252" s="25"/>
      <c r="R252" s="25"/>
      <c r="S252" s="29"/>
      <c r="T252" s="27"/>
      <c r="U252" s="25"/>
      <c r="V252" s="45"/>
    </row>
    <row r="253" spans="1:22" x14ac:dyDescent="0.25">
      <c r="A253" s="23"/>
      <c r="B253" s="46"/>
      <c r="C253" s="37"/>
      <c r="D253" s="37"/>
      <c r="E253" s="38"/>
      <c r="F253" s="38"/>
      <c r="G253" s="47"/>
      <c r="H253" s="46"/>
      <c r="I253" s="37"/>
      <c r="J253" s="38"/>
      <c r="K253" s="25"/>
      <c r="L253" s="25"/>
      <c r="M253" s="25"/>
      <c r="N253" s="31"/>
      <c r="O253" s="39"/>
      <c r="P253" s="25"/>
      <c r="Q253" s="25"/>
      <c r="R253" s="25"/>
      <c r="S253" s="59"/>
      <c r="T253" s="27"/>
      <c r="U253" s="25"/>
      <c r="V253" s="60"/>
    </row>
  </sheetData>
  <sortState ref="A11:W216">
    <sortCondition ref="A10"/>
  </sortState>
  <mergeCells count="1">
    <mergeCell ref="A3:V3"/>
  </mergeCells>
  <pageMargins left="0.7" right="0.7" top="0.75" bottom="0.75" header="0.3" footer="0.3"/>
  <pageSetup orientation="portrait" horizontalDpi="2400" verticalDpi="24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F19"/>
  <sheetViews>
    <sheetView workbookViewId="0">
      <selection activeCell="G30" sqref="G30"/>
    </sheetView>
  </sheetViews>
  <sheetFormatPr defaultRowHeight="15" x14ac:dyDescent="0.25"/>
  <sheetData>
    <row r="1" spans="1:6" s="83" customFormat="1" x14ac:dyDescent="0.25"/>
    <row r="2" spans="1:6" s="83" customFormat="1" x14ac:dyDescent="0.25"/>
    <row r="3" spans="1:6" s="83" customFormat="1" x14ac:dyDescent="0.25"/>
    <row r="4" spans="1:6" s="83" customFormat="1" x14ac:dyDescent="0.25"/>
    <row r="5" spans="1:6" s="83" customFormat="1" x14ac:dyDescent="0.25"/>
    <row r="6" spans="1:6" s="83" customFormat="1" x14ac:dyDescent="0.25"/>
    <row r="7" spans="1:6" s="83" customFormat="1" x14ac:dyDescent="0.25"/>
    <row r="8" spans="1:6" s="83" customFormat="1" x14ac:dyDescent="0.25"/>
    <row r="9" spans="1:6" s="83" customFormat="1" x14ac:dyDescent="0.25">
      <c r="A9" s="83" t="s">
        <v>463</v>
      </c>
      <c r="B9" s="71">
        <v>20</v>
      </c>
    </row>
    <row r="10" spans="1:6" s="83" customFormat="1" x14ac:dyDescent="0.25"/>
    <row r="11" spans="1:6" x14ac:dyDescent="0.25">
      <c r="A11" s="84" t="s">
        <v>465</v>
      </c>
    </row>
    <row r="12" spans="1:6" x14ac:dyDescent="0.25">
      <c r="A12" t="s">
        <v>45</v>
      </c>
      <c r="B12">
        <v>1.1500000000000001</v>
      </c>
      <c r="C12">
        <v>1.1500000000000001</v>
      </c>
      <c r="D12">
        <v>3.25</v>
      </c>
      <c r="E12">
        <v>3.25</v>
      </c>
      <c r="F12">
        <v>1.1500000000000001</v>
      </c>
    </row>
    <row r="13" spans="1:6" x14ac:dyDescent="0.25">
      <c r="A13" t="s">
        <v>464</v>
      </c>
      <c r="B13">
        <v>1.6</v>
      </c>
      <c r="C13">
        <v>0.60000000000000009</v>
      </c>
      <c r="D13">
        <v>0.60000000000000009</v>
      </c>
      <c r="E13">
        <v>1.6</v>
      </c>
      <c r="F13">
        <v>1.6</v>
      </c>
    </row>
    <row r="14" spans="1:6" x14ac:dyDescent="0.25">
      <c r="A14" s="84" t="s">
        <v>466</v>
      </c>
    </row>
    <row r="15" spans="1:6" x14ac:dyDescent="0.25">
      <c r="A15" t="s">
        <v>45</v>
      </c>
      <c r="B15">
        <v>1.1500000000000001</v>
      </c>
      <c r="C15">
        <v>1.1500000000000001</v>
      </c>
      <c r="D15">
        <v>3.25</v>
      </c>
      <c r="E15">
        <v>3.25</v>
      </c>
      <c r="F15">
        <v>1.1500000000000001</v>
      </c>
    </row>
    <row r="16" spans="1:6" x14ac:dyDescent="0.25">
      <c r="A16" t="s">
        <v>464</v>
      </c>
      <c r="B16">
        <v>1.6</v>
      </c>
      <c r="C16">
        <v>0.60000000000000009</v>
      </c>
      <c r="D16">
        <v>0.60000000000000009</v>
      </c>
      <c r="E16">
        <v>1.6</v>
      </c>
      <c r="F16">
        <v>1.6</v>
      </c>
    </row>
    <row r="17" spans="1:6" x14ac:dyDescent="0.25">
      <c r="A17" s="84" t="s">
        <v>467</v>
      </c>
    </row>
    <row r="18" spans="1:6" x14ac:dyDescent="0.25">
      <c r="A18" t="s">
        <v>45</v>
      </c>
      <c r="B18">
        <v>1.1500000000000001</v>
      </c>
      <c r="C18">
        <v>1.1500000000000001</v>
      </c>
      <c r="D18">
        <v>3.25</v>
      </c>
      <c r="E18">
        <v>3.25</v>
      </c>
      <c r="F18">
        <v>1.1500000000000001</v>
      </c>
    </row>
    <row r="19" spans="1:6" x14ac:dyDescent="0.25">
      <c r="A19" t="s">
        <v>464</v>
      </c>
      <c r="B19">
        <v>1.6</v>
      </c>
      <c r="C19">
        <v>0.60000000000000009</v>
      </c>
      <c r="D19">
        <v>0.60000000000000009</v>
      </c>
      <c r="E19">
        <v>1.6</v>
      </c>
      <c r="F19">
        <v>1.6</v>
      </c>
    </row>
  </sheetData>
  <pageMargins left="0.7" right="0.7" top="0.75" bottom="0.75" header="0.3" footer="0.3"/>
  <pageSetup paperSize="9"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10241" r:id="rId4" name="CommandButton1">
          <controlPr defaultSize="0" autoLine="0" r:id="rId5">
            <anchor moveWithCells="1">
              <from>
                <xdr:col>5</xdr:col>
                <xdr:colOff>361950</xdr:colOff>
                <xdr:row>2</xdr:row>
                <xdr:rowOff>161925</xdr:rowOff>
              </from>
              <to>
                <xdr:col>6</xdr:col>
                <xdr:colOff>342900</xdr:colOff>
                <xdr:row>4</xdr:row>
                <xdr:rowOff>161925</xdr:rowOff>
              </to>
            </anchor>
          </controlPr>
        </control>
      </mc:Choice>
      <mc:Fallback>
        <control shapeId="10241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CL_TABELS!$A$10:$A$1000</xm:f>
          </x14:formula1>
          <xm:sqref>F17 D22 G9 F12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T30"/>
  <sheetViews>
    <sheetView workbookViewId="0">
      <selection activeCell="H46" sqref="H46"/>
    </sheetView>
  </sheetViews>
  <sheetFormatPr defaultRowHeight="15" x14ac:dyDescent="0.25"/>
  <sheetData>
    <row r="1" spans="1:20" x14ac:dyDescent="0.25">
      <c r="A1" s="83"/>
      <c r="B1" s="83"/>
      <c r="C1" s="83"/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</row>
    <row r="2" spans="1:20" x14ac:dyDescent="0.25">
      <c r="A2" s="83"/>
      <c r="B2" s="83"/>
      <c r="C2" s="83"/>
      <c r="D2" s="83"/>
      <c r="E2" s="83"/>
      <c r="F2" s="83"/>
      <c r="G2" s="83"/>
      <c r="H2" s="83"/>
      <c r="I2" s="83"/>
      <c r="J2" s="83"/>
      <c r="K2" s="83"/>
      <c r="L2" s="83"/>
      <c r="M2" s="83"/>
      <c r="N2" s="83"/>
      <c r="O2" s="83"/>
      <c r="P2" s="83"/>
      <c r="Q2" s="83"/>
      <c r="R2" s="83"/>
      <c r="S2" s="83"/>
      <c r="T2" s="83"/>
    </row>
    <row r="3" spans="1:20" x14ac:dyDescent="0.25">
      <c r="A3" s="83"/>
      <c r="B3" s="83"/>
      <c r="C3" s="83"/>
      <c r="D3" s="83"/>
      <c r="E3" s="83"/>
      <c r="F3" s="83"/>
      <c r="G3" s="83"/>
      <c r="H3" s="83"/>
      <c r="I3" s="83"/>
      <c r="J3" s="83"/>
      <c r="K3" s="83"/>
      <c r="L3" s="83"/>
      <c r="M3" s="83"/>
      <c r="N3" s="83"/>
      <c r="O3" s="83"/>
      <c r="P3" s="83"/>
      <c r="Q3" s="83"/>
      <c r="R3" s="83"/>
      <c r="S3" s="83"/>
      <c r="T3" s="83"/>
    </row>
    <row r="4" spans="1:20" x14ac:dyDescent="0.25">
      <c r="A4" s="83"/>
      <c r="B4" s="83"/>
      <c r="C4" s="83"/>
      <c r="D4" s="83"/>
      <c r="E4" s="83"/>
      <c r="F4" s="83"/>
      <c r="G4" s="83"/>
      <c r="H4" s="83"/>
      <c r="I4" s="83"/>
      <c r="J4" s="83"/>
      <c r="K4" s="83"/>
      <c r="L4" s="83"/>
      <c r="M4" s="83"/>
      <c r="N4" s="83"/>
      <c r="O4" s="83"/>
      <c r="P4" s="83"/>
      <c r="Q4" s="83"/>
      <c r="R4" s="83"/>
      <c r="S4" s="83"/>
      <c r="T4" s="83"/>
    </row>
    <row r="5" spans="1:20" x14ac:dyDescent="0.25">
      <c r="A5" s="83"/>
      <c r="B5" s="83"/>
      <c r="C5" s="83"/>
      <c r="D5" s="83"/>
      <c r="E5" s="83"/>
      <c r="F5" s="83"/>
      <c r="G5" s="83"/>
      <c r="H5" s="83"/>
      <c r="I5" s="83"/>
      <c r="J5" s="83"/>
      <c r="K5" s="83"/>
      <c r="L5" s="83"/>
      <c r="M5" s="83"/>
      <c r="N5" s="83"/>
      <c r="O5" s="83"/>
      <c r="P5" s="83"/>
      <c r="Q5" s="83"/>
      <c r="R5" s="83"/>
      <c r="S5" s="83"/>
      <c r="T5" s="83"/>
    </row>
    <row r="6" spans="1:20" x14ac:dyDescent="0.25">
      <c r="A6" s="83"/>
      <c r="B6" s="83"/>
      <c r="C6" s="83"/>
      <c r="D6" s="83"/>
      <c r="E6" s="83"/>
      <c r="F6" s="83"/>
      <c r="G6" s="83"/>
      <c r="H6" s="83"/>
      <c r="I6" s="83"/>
      <c r="J6" s="83"/>
      <c r="K6" s="83"/>
      <c r="L6" s="83"/>
      <c r="M6" s="83"/>
      <c r="N6" s="83"/>
      <c r="O6" s="83"/>
      <c r="P6" s="83"/>
      <c r="Q6" s="83"/>
      <c r="R6" s="83"/>
      <c r="S6" s="83"/>
      <c r="T6" s="83"/>
    </row>
    <row r="7" spans="1:20" x14ac:dyDescent="0.25">
      <c r="A7" s="83"/>
      <c r="B7" s="83"/>
      <c r="C7" s="83"/>
      <c r="D7" s="83"/>
      <c r="E7" s="83"/>
      <c r="F7" s="83"/>
      <c r="G7" s="83"/>
      <c r="H7" s="83"/>
      <c r="I7" s="83"/>
      <c r="J7" s="83"/>
      <c r="K7" s="83"/>
      <c r="L7" s="83"/>
      <c r="M7" s="83"/>
      <c r="N7" s="83"/>
      <c r="O7" s="83"/>
      <c r="P7" s="83"/>
      <c r="Q7" s="83"/>
      <c r="R7" s="83"/>
      <c r="S7" s="83"/>
      <c r="T7" s="83"/>
    </row>
    <row r="8" spans="1:20" x14ac:dyDescent="0.25">
      <c r="A8" s="83"/>
      <c r="B8" s="83"/>
      <c r="C8" s="83"/>
      <c r="D8" s="83"/>
      <c r="E8" s="83"/>
      <c r="F8" s="83"/>
      <c r="G8" s="83"/>
      <c r="H8" s="83"/>
      <c r="I8" s="83"/>
      <c r="J8" s="83"/>
      <c r="K8" s="83"/>
      <c r="L8" s="83"/>
      <c r="M8" s="83"/>
      <c r="N8" s="83"/>
      <c r="O8" s="83"/>
      <c r="P8" s="83"/>
      <c r="Q8" s="83"/>
      <c r="R8" s="83"/>
      <c r="S8" s="83"/>
      <c r="T8" s="83"/>
    </row>
    <row r="9" spans="1:20" x14ac:dyDescent="0.25">
      <c r="A9" s="83"/>
      <c r="B9" s="83"/>
      <c r="C9" s="83"/>
      <c r="D9" s="83"/>
      <c r="E9" s="83"/>
      <c r="F9" s="83"/>
      <c r="G9" s="83"/>
      <c r="H9" s="83"/>
      <c r="I9" s="83"/>
      <c r="J9" s="83"/>
      <c r="K9" s="83"/>
      <c r="L9" s="83"/>
      <c r="M9" s="83"/>
      <c r="N9" s="83"/>
      <c r="O9" s="83"/>
      <c r="P9" s="83"/>
      <c r="Q9" s="83"/>
      <c r="R9" s="83"/>
      <c r="S9" s="83"/>
      <c r="T9" s="83"/>
    </row>
    <row r="10" spans="1:20" x14ac:dyDescent="0.25">
      <c r="A10" s="83"/>
      <c r="B10" s="83"/>
      <c r="C10" s="83"/>
      <c r="D10" s="83"/>
      <c r="E10" s="83"/>
      <c r="F10" s="83"/>
      <c r="G10" s="83"/>
      <c r="H10" s="83"/>
      <c r="I10" s="83"/>
      <c r="J10" s="83"/>
      <c r="K10" s="83"/>
      <c r="L10" s="83"/>
      <c r="M10" s="83"/>
      <c r="N10" s="83"/>
      <c r="O10" s="83"/>
      <c r="P10" s="83"/>
      <c r="Q10" s="83"/>
      <c r="R10" s="83"/>
      <c r="S10" s="83"/>
      <c r="T10" s="83"/>
    </row>
    <row r="11" spans="1:20" x14ac:dyDescent="0.25">
      <c r="A11" s="83"/>
      <c r="B11" s="83"/>
      <c r="C11" s="83"/>
      <c r="D11" s="83"/>
      <c r="E11" s="83"/>
      <c r="F11" s="83"/>
      <c r="G11" s="83"/>
      <c r="H11" s="83"/>
      <c r="I11" s="83"/>
      <c r="J11" s="83"/>
      <c r="K11" s="83"/>
      <c r="L11" s="83"/>
      <c r="M11" s="83"/>
      <c r="N11" s="83"/>
      <c r="O11" s="83"/>
      <c r="P11" s="83"/>
      <c r="Q11" s="83"/>
      <c r="R11" s="83"/>
      <c r="S11" s="83"/>
      <c r="T11" s="83"/>
    </row>
    <row r="12" spans="1:20" x14ac:dyDescent="0.25">
      <c r="A12" s="83"/>
      <c r="B12" s="83"/>
      <c r="C12" s="83"/>
      <c r="D12" s="83"/>
      <c r="E12" s="83"/>
      <c r="F12" s="83"/>
      <c r="G12" s="83"/>
      <c r="H12" s="83"/>
      <c r="I12" s="83"/>
      <c r="J12" s="83"/>
      <c r="K12" s="83"/>
      <c r="L12" s="83"/>
      <c r="M12" s="83"/>
      <c r="N12" s="83"/>
      <c r="O12" s="83"/>
      <c r="P12" s="83"/>
      <c r="Q12" s="83"/>
      <c r="R12" s="83"/>
      <c r="S12" s="83"/>
      <c r="T12" s="83"/>
    </row>
    <row r="13" spans="1:20" x14ac:dyDescent="0.25">
      <c r="A13" s="83"/>
      <c r="B13" s="83"/>
      <c r="C13" s="83"/>
      <c r="D13" s="83"/>
      <c r="E13" s="83"/>
      <c r="F13" s="83"/>
      <c r="G13" s="83"/>
      <c r="H13" s="83"/>
      <c r="I13" s="83"/>
      <c r="J13" s="83"/>
      <c r="K13" s="83"/>
      <c r="L13" s="83"/>
      <c r="M13" s="83"/>
      <c r="N13" s="83"/>
      <c r="O13" s="83"/>
      <c r="P13" s="83"/>
      <c r="Q13" s="83"/>
      <c r="R13" s="83"/>
      <c r="S13" s="83"/>
      <c r="T13" s="83"/>
    </row>
    <row r="14" spans="1:20" x14ac:dyDescent="0.25">
      <c r="A14" s="83"/>
      <c r="B14" s="83"/>
      <c r="C14" s="83"/>
      <c r="D14" s="83"/>
      <c r="E14" s="83"/>
      <c r="F14" s="83"/>
      <c r="G14" s="83"/>
      <c r="H14" s="83"/>
      <c r="I14" s="83"/>
      <c r="J14" s="83"/>
      <c r="K14" s="83"/>
      <c r="L14" s="83"/>
      <c r="M14" s="83"/>
      <c r="N14" s="83"/>
      <c r="O14" s="83"/>
      <c r="P14" s="83"/>
      <c r="Q14" s="83"/>
      <c r="R14" s="83"/>
      <c r="S14" s="83"/>
      <c r="T14" s="83"/>
    </row>
    <row r="15" spans="1:20" x14ac:dyDescent="0.25">
      <c r="A15" s="83"/>
      <c r="B15" s="83"/>
      <c r="C15" s="83"/>
      <c r="D15" s="83"/>
      <c r="E15" s="83"/>
      <c r="F15" s="83"/>
      <c r="G15" s="83"/>
      <c r="H15" s="83"/>
      <c r="I15" s="83"/>
      <c r="J15" s="83"/>
      <c r="K15" s="83"/>
      <c r="L15" s="83"/>
      <c r="M15" s="83"/>
      <c r="N15" s="83"/>
      <c r="O15" s="83"/>
      <c r="P15" s="83"/>
      <c r="Q15" s="83"/>
      <c r="R15" s="83"/>
      <c r="S15" s="83"/>
      <c r="T15" s="83"/>
    </row>
    <row r="16" spans="1:20" x14ac:dyDescent="0.25">
      <c r="A16" s="83"/>
      <c r="B16" s="83"/>
      <c r="C16" s="83"/>
      <c r="D16" s="83"/>
      <c r="E16" s="83"/>
      <c r="F16" s="83"/>
      <c r="G16" s="83"/>
      <c r="H16" s="83"/>
      <c r="I16" s="83"/>
      <c r="J16" s="83"/>
      <c r="K16" s="83"/>
      <c r="L16" s="83"/>
      <c r="M16" s="83"/>
      <c r="N16" s="83"/>
      <c r="O16" s="83"/>
      <c r="P16" s="83"/>
      <c r="Q16" s="83"/>
      <c r="R16" s="83"/>
      <c r="S16" s="83"/>
      <c r="T16" s="83"/>
    </row>
    <row r="17" spans="1:20" x14ac:dyDescent="0.25">
      <c r="A17" s="83"/>
      <c r="B17" s="83"/>
      <c r="C17" s="83"/>
      <c r="D17" s="83"/>
      <c r="E17" s="83"/>
      <c r="F17" s="83"/>
      <c r="G17" s="83"/>
      <c r="H17" s="83"/>
      <c r="I17" s="83"/>
      <c r="J17" s="83"/>
      <c r="K17" s="83"/>
      <c r="L17" s="83"/>
      <c r="M17" s="83"/>
      <c r="N17" s="83"/>
      <c r="O17" s="83"/>
      <c r="P17" s="83"/>
      <c r="Q17" s="83"/>
      <c r="R17" s="83"/>
      <c r="S17" s="83"/>
      <c r="T17" s="83"/>
    </row>
    <row r="18" spans="1:20" x14ac:dyDescent="0.25">
      <c r="A18" s="83"/>
      <c r="B18" s="83"/>
      <c r="C18" s="83"/>
      <c r="D18" s="83"/>
      <c r="E18" s="83"/>
      <c r="F18" s="83"/>
      <c r="G18" s="83"/>
      <c r="H18" s="83"/>
      <c r="I18" s="83"/>
      <c r="J18" s="83"/>
      <c r="K18" s="83"/>
      <c r="L18" s="83"/>
      <c r="M18" s="83"/>
      <c r="N18" s="83"/>
      <c r="O18" s="83"/>
      <c r="P18" s="83"/>
      <c r="Q18" s="83"/>
      <c r="R18" s="83"/>
      <c r="S18" s="83"/>
      <c r="T18" s="83"/>
    </row>
    <row r="19" spans="1:20" x14ac:dyDescent="0.25">
      <c r="A19" s="83"/>
      <c r="B19" s="83"/>
      <c r="C19" s="83"/>
      <c r="D19" s="83"/>
      <c r="E19" s="83"/>
      <c r="F19" s="83"/>
      <c r="G19" s="83"/>
      <c r="H19" s="83"/>
      <c r="I19" s="83"/>
      <c r="J19" s="83"/>
      <c r="K19" s="83"/>
      <c r="L19" s="83"/>
      <c r="M19" s="83"/>
      <c r="N19" s="83"/>
      <c r="O19" s="83"/>
      <c r="P19" s="83"/>
      <c r="Q19" s="83"/>
      <c r="R19" s="83"/>
      <c r="S19" s="83"/>
      <c r="T19" s="83"/>
    </row>
    <row r="20" spans="1:20" x14ac:dyDescent="0.25">
      <c r="A20" s="83"/>
      <c r="B20" s="83"/>
      <c r="C20" s="83"/>
      <c r="D20" s="83"/>
      <c r="E20" s="83"/>
      <c r="F20" s="83"/>
      <c r="G20" s="83"/>
      <c r="H20" s="83"/>
      <c r="I20" s="83"/>
      <c r="J20" s="83"/>
      <c r="K20" s="83"/>
      <c r="L20" s="83"/>
      <c r="M20" s="83"/>
      <c r="N20" s="83"/>
      <c r="O20" s="83"/>
      <c r="P20" s="83"/>
      <c r="Q20" s="83"/>
      <c r="R20" s="83"/>
      <c r="S20" s="83"/>
      <c r="T20" s="83"/>
    </row>
    <row r="21" spans="1:20" x14ac:dyDescent="0.25">
      <c r="A21" s="83"/>
      <c r="B21" s="83"/>
      <c r="C21" s="83"/>
      <c r="D21" s="83"/>
      <c r="E21" s="83"/>
      <c r="F21" s="83"/>
      <c r="G21" s="83"/>
      <c r="H21" s="83"/>
      <c r="I21" s="83"/>
      <c r="J21" s="83"/>
      <c r="K21" s="83"/>
      <c r="L21" s="83"/>
      <c r="M21" s="83"/>
      <c r="N21" s="83"/>
      <c r="O21" s="83"/>
      <c r="P21" s="83"/>
      <c r="Q21" s="83"/>
      <c r="R21" s="83"/>
      <c r="S21" s="83"/>
      <c r="T21" s="83"/>
    </row>
    <row r="22" spans="1:20" x14ac:dyDescent="0.25">
      <c r="A22" s="83"/>
      <c r="B22" s="83"/>
      <c r="C22" s="83"/>
      <c r="D22" s="83"/>
      <c r="E22" s="83"/>
      <c r="F22" s="83"/>
      <c r="G22" s="83"/>
      <c r="H22" s="83"/>
      <c r="I22" s="83"/>
      <c r="J22" s="83"/>
      <c r="K22" s="83"/>
      <c r="L22" s="83"/>
      <c r="M22" s="83"/>
      <c r="N22" s="83"/>
      <c r="O22" s="83"/>
      <c r="P22" s="83"/>
      <c r="Q22" s="83"/>
      <c r="R22" s="83"/>
      <c r="S22" s="83"/>
      <c r="T22" s="83"/>
    </row>
    <row r="23" spans="1:20" x14ac:dyDescent="0.25">
      <c r="A23" s="83"/>
      <c r="B23" s="83"/>
      <c r="C23" s="83"/>
      <c r="D23" s="83"/>
      <c r="E23" s="83"/>
      <c r="F23" s="83"/>
      <c r="G23" s="83"/>
      <c r="H23" s="83"/>
      <c r="I23" s="83"/>
      <c r="J23" s="83"/>
      <c r="K23" s="83"/>
      <c r="L23" s="83"/>
      <c r="M23" s="83"/>
      <c r="N23" s="83"/>
      <c r="O23" s="83"/>
      <c r="P23" s="83"/>
      <c r="Q23" s="83"/>
      <c r="R23" s="83"/>
      <c r="S23" s="83"/>
      <c r="T23" s="83"/>
    </row>
    <row r="24" spans="1:20" x14ac:dyDescent="0.25">
      <c r="A24" s="83"/>
      <c r="B24" s="83"/>
      <c r="C24" s="83"/>
      <c r="D24" s="83"/>
      <c r="E24" s="83"/>
      <c r="F24" s="83"/>
      <c r="G24" s="83"/>
      <c r="H24" s="83"/>
      <c r="I24" s="83"/>
      <c r="J24" s="83"/>
      <c r="K24" s="83"/>
      <c r="L24" s="83"/>
      <c r="M24" s="83"/>
      <c r="N24" s="83"/>
      <c r="O24" s="83"/>
      <c r="P24" s="83"/>
      <c r="Q24" s="83"/>
      <c r="R24" s="83"/>
      <c r="S24" s="83"/>
      <c r="T24" s="83"/>
    </row>
    <row r="25" spans="1:20" x14ac:dyDescent="0.25">
      <c r="A25" s="83"/>
      <c r="B25" s="83"/>
      <c r="C25" s="83"/>
      <c r="D25" s="83"/>
      <c r="E25" s="83"/>
      <c r="F25" s="83"/>
      <c r="G25" s="83"/>
      <c r="H25" s="83"/>
      <c r="I25" s="83"/>
      <c r="J25" s="83"/>
      <c r="K25" s="83"/>
      <c r="L25" s="83"/>
      <c r="M25" s="83"/>
      <c r="N25" s="83"/>
      <c r="O25" s="83"/>
      <c r="P25" s="83"/>
      <c r="Q25" s="83"/>
      <c r="R25" s="83"/>
      <c r="S25" s="83"/>
      <c r="T25" s="83"/>
    </row>
    <row r="26" spans="1:20" x14ac:dyDescent="0.25">
      <c r="A26" s="83"/>
      <c r="B26" s="83"/>
      <c r="C26" s="83"/>
      <c r="D26" s="83"/>
      <c r="E26" s="83"/>
      <c r="F26" s="83"/>
      <c r="G26" s="83"/>
      <c r="H26" s="83"/>
      <c r="I26" s="83"/>
      <c r="J26" s="83"/>
      <c r="K26" s="83"/>
      <c r="L26" s="83"/>
      <c r="M26" s="83"/>
      <c r="N26" s="83"/>
      <c r="O26" s="83"/>
      <c r="P26" s="83"/>
      <c r="Q26" s="83"/>
      <c r="R26" s="83"/>
      <c r="S26" s="83"/>
      <c r="T26" s="83"/>
    </row>
    <row r="27" spans="1:20" x14ac:dyDescent="0.25">
      <c r="A27" s="83"/>
      <c r="B27" s="83"/>
      <c r="C27" s="83"/>
      <c r="D27" s="83"/>
      <c r="E27" s="83"/>
      <c r="F27" s="83"/>
      <c r="G27" s="83"/>
      <c r="H27" s="83"/>
      <c r="I27" s="83"/>
      <c r="J27" s="83"/>
      <c r="K27" s="83"/>
      <c r="L27" s="83"/>
      <c r="M27" s="83"/>
      <c r="N27" s="83"/>
      <c r="O27" s="83"/>
      <c r="P27" s="83"/>
      <c r="Q27" s="83"/>
      <c r="R27" s="83"/>
      <c r="S27" s="83"/>
      <c r="T27" s="83"/>
    </row>
    <row r="28" spans="1:20" x14ac:dyDescent="0.25">
      <c r="A28" s="83"/>
      <c r="B28" s="83"/>
      <c r="C28" s="83"/>
      <c r="D28" s="83"/>
      <c r="E28" s="83"/>
      <c r="F28" s="83"/>
      <c r="G28" s="83"/>
      <c r="H28" s="83"/>
      <c r="I28" s="83"/>
      <c r="J28" s="83"/>
      <c r="K28" s="83"/>
      <c r="L28" s="83"/>
      <c r="M28" s="83"/>
      <c r="N28" s="83"/>
      <c r="O28" s="83"/>
      <c r="P28" s="83"/>
      <c r="Q28" s="83"/>
      <c r="R28" s="83"/>
      <c r="S28" s="83"/>
      <c r="T28" s="83"/>
    </row>
    <row r="29" spans="1:20" x14ac:dyDescent="0.25">
      <c r="A29" s="83"/>
      <c r="B29" s="83"/>
      <c r="C29" s="83"/>
      <c r="D29" s="83"/>
      <c r="E29" s="83"/>
      <c r="F29" s="83"/>
      <c r="G29" s="83"/>
      <c r="H29" s="83"/>
      <c r="I29" s="83"/>
      <c r="J29" s="83"/>
      <c r="K29" s="83"/>
      <c r="L29" s="83"/>
      <c r="M29" s="83"/>
      <c r="N29" s="83"/>
      <c r="O29" s="83"/>
      <c r="P29" s="83"/>
      <c r="Q29" s="83"/>
      <c r="R29" s="83"/>
      <c r="S29" s="83"/>
      <c r="T29" s="83"/>
    </row>
    <row r="30" spans="1:20" x14ac:dyDescent="0.25">
      <c r="A30" s="83"/>
      <c r="B30" s="83"/>
      <c r="C30" s="83"/>
      <c r="D30" s="83"/>
      <c r="E30" s="83"/>
      <c r="F30" s="83"/>
      <c r="G30" s="83"/>
      <c r="H30" s="83"/>
      <c r="I30" s="83"/>
      <c r="J30" s="83"/>
      <c r="K30" s="83"/>
      <c r="L30" s="83"/>
      <c r="M30" s="83"/>
      <c r="N30" s="83"/>
      <c r="O30" s="83"/>
      <c r="P30" s="83"/>
      <c r="Q30" s="83"/>
      <c r="R30" s="83"/>
      <c r="S30" s="83"/>
      <c r="T30" s="83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CommandButton1">
          <controlPr defaultSize="0" autoLine="0" r:id="rId4">
            <anchor moveWithCells="1">
              <from>
                <xdr:col>0</xdr:col>
                <xdr:colOff>209550</xdr:colOff>
                <xdr:row>1</xdr:row>
                <xdr:rowOff>28575</xdr:rowOff>
              </from>
              <to>
                <xdr:col>3</xdr:col>
                <xdr:colOff>438150</xdr:colOff>
                <xdr:row>4</xdr:row>
                <xdr:rowOff>152400</xdr:rowOff>
              </to>
            </anchor>
          </controlPr>
        </control>
      </mc:Choice>
      <mc:Fallback>
        <control shapeId="5121" r:id="rId3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B4:R40"/>
  <sheetViews>
    <sheetView tabSelected="1" workbookViewId="0">
      <selection activeCell="O24" sqref="O24"/>
    </sheetView>
  </sheetViews>
  <sheetFormatPr defaultRowHeight="15" x14ac:dyDescent="0.25"/>
  <cols>
    <col min="4" max="4" width="11.85546875" customWidth="1"/>
    <col min="5" max="5" width="12" bestFit="1" customWidth="1"/>
    <col min="6" max="6" width="10.5703125" customWidth="1"/>
    <col min="7" max="7" width="10.42578125" bestFit="1" customWidth="1"/>
    <col min="8" max="8" width="8.7109375" customWidth="1"/>
    <col min="9" max="9" width="10" customWidth="1"/>
    <col min="10" max="10" width="13.7109375" customWidth="1"/>
    <col min="11" max="11" width="14.28515625" customWidth="1"/>
    <col min="12" max="12" width="14.85546875" customWidth="1"/>
    <col min="13" max="13" width="12" bestFit="1" customWidth="1"/>
    <col min="15" max="15" width="14.7109375" customWidth="1"/>
    <col min="16" max="16" width="22.140625" customWidth="1"/>
    <col min="17" max="17" width="20" customWidth="1"/>
    <col min="18" max="18" width="18.28515625" customWidth="1"/>
  </cols>
  <sheetData>
    <row r="4" spans="2:18" ht="15.75" thickBot="1" x14ac:dyDescent="0.3"/>
    <row r="5" spans="2:18" x14ac:dyDescent="0.25">
      <c r="B5" s="96"/>
      <c r="C5" s="97"/>
      <c r="D5" s="97"/>
      <c r="E5" s="97"/>
      <c r="F5" s="97"/>
      <c r="G5" s="97"/>
      <c r="H5" s="97"/>
      <c r="I5" s="97"/>
      <c r="J5" s="97"/>
      <c r="K5" s="97"/>
      <c r="L5" s="97"/>
      <c r="M5" s="97"/>
      <c r="N5" s="98"/>
    </row>
    <row r="6" spans="2:18" x14ac:dyDescent="0.25">
      <c r="B6" s="99"/>
      <c r="C6" s="100"/>
      <c r="D6" s="100"/>
      <c r="E6" s="100"/>
      <c r="F6" s="100"/>
      <c r="G6" s="100"/>
      <c r="H6" s="100"/>
      <c r="I6" s="100"/>
      <c r="J6" s="100"/>
      <c r="K6" s="100"/>
      <c r="L6" s="100"/>
      <c r="M6" s="100"/>
      <c r="N6" s="101"/>
    </row>
    <row r="7" spans="2:18" ht="20.25" x14ac:dyDescent="0.35">
      <c r="B7" s="99"/>
      <c r="C7" s="102" t="s">
        <v>630</v>
      </c>
      <c r="D7" s="102"/>
      <c r="E7" s="102"/>
      <c r="F7" s="102"/>
      <c r="G7" s="100"/>
      <c r="H7" s="100"/>
      <c r="I7" s="100"/>
      <c r="J7" s="100"/>
      <c r="K7" s="100"/>
      <c r="L7" s="100"/>
      <c r="M7" s="100"/>
      <c r="N7" s="101"/>
      <c r="O7" s="95"/>
      <c r="P7" s="95"/>
      <c r="Q7" s="95"/>
      <c r="R7" s="95"/>
    </row>
    <row r="8" spans="2:18" x14ac:dyDescent="0.25">
      <c r="B8" s="99"/>
      <c r="C8" s="100"/>
      <c r="D8" s="100"/>
      <c r="E8" s="100"/>
      <c r="F8" s="100"/>
      <c r="G8" s="100"/>
      <c r="H8" s="100"/>
      <c r="I8" s="100"/>
      <c r="J8" s="100"/>
      <c r="K8" s="100"/>
      <c r="L8" s="100"/>
      <c r="M8" s="100"/>
      <c r="N8" s="101"/>
      <c r="O8" s="95"/>
      <c r="P8" s="95"/>
      <c r="Q8" s="95"/>
      <c r="R8" s="95"/>
    </row>
    <row r="9" spans="2:18" x14ac:dyDescent="0.25">
      <c r="B9" s="99"/>
      <c r="C9" s="103" t="s">
        <v>599</v>
      </c>
      <c r="D9" s="100"/>
      <c r="E9" s="100"/>
      <c r="F9" s="100"/>
      <c r="G9" s="100"/>
      <c r="H9" s="100"/>
      <c r="I9" s="100"/>
      <c r="J9" s="103" t="s">
        <v>373</v>
      </c>
      <c r="K9" s="100"/>
      <c r="L9" s="100"/>
      <c r="M9" s="100"/>
      <c r="N9" s="101"/>
    </row>
    <row r="10" spans="2:18" x14ac:dyDescent="0.25">
      <c r="B10" s="99"/>
      <c r="C10" s="100"/>
      <c r="D10" s="100"/>
      <c r="E10" s="100"/>
      <c r="F10" s="100"/>
      <c r="G10" s="100"/>
      <c r="H10" s="100"/>
      <c r="I10" s="100"/>
      <c r="J10" s="100"/>
      <c r="K10" s="100"/>
      <c r="L10" s="100"/>
      <c r="M10" s="100"/>
      <c r="N10" s="101"/>
    </row>
    <row r="11" spans="2:18" ht="18" x14ac:dyDescent="0.35">
      <c r="B11" s="99"/>
      <c r="C11" s="100"/>
      <c r="D11" s="123" t="s">
        <v>596</v>
      </c>
      <c r="E11" s="124"/>
      <c r="F11" s="125" t="s">
        <v>621</v>
      </c>
      <c r="G11" s="125" t="s">
        <v>622</v>
      </c>
      <c r="H11" s="100"/>
      <c r="I11" s="100"/>
      <c r="J11" s="125" t="s">
        <v>607</v>
      </c>
      <c r="K11" s="125" t="s">
        <v>608</v>
      </c>
      <c r="L11" s="125" t="s">
        <v>609</v>
      </c>
      <c r="M11" s="125" t="s">
        <v>610</v>
      </c>
      <c r="N11" s="101"/>
    </row>
    <row r="12" spans="2:18" x14ac:dyDescent="0.25">
      <c r="B12" s="99"/>
      <c r="C12" s="100"/>
      <c r="D12" s="113" t="s">
        <v>54</v>
      </c>
      <c r="E12" s="105"/>
      <c r="F12" s="119">
        <v>160</v>
      </c>
      <c r="G12" s="119">
        <v>1120</v>
      </c>
      <c r="H12" s="100"/>
      <c r="I12" s="100"/>
      <c r="J12" s="106">
        <f>CL_RC_ConcreteData(D12,"Ecm")/E28</f>
        <v>9694.4409070430993</v>
      </c>
      <c r="K12" s="116">
        <f>1/12*G12*F12^3</f>
        <v>382293333.33333331</v>
      </c>
      <c r="L12" s="115">
        <f>F12*G12</f>
        <v>179200</v>
      </c>
      <c r="M12" s="109">
        <f>-F12/2</f>
        <v>-80</v>
      </c>
      <c r="N12" s="101"/>
    </row>
    <row r="13" spans="2:18" x14ac:dyDescent="0.25">
      <c r="B13" s="99"/>
      <c r="C13" s="100"/>
      <c r="D13" s="100"/>
      <c r="E13" s="100"/>
      <c r="F13" s="100"/>
      <c r="G13" s="100"/>
      <c r="H13" s="100"/>
      <c r="I13" s="100"/>
      <c r="J13" s="100"/>
      <c r="K13" s="100"/>
      <c r="L13" s="100"/>
      <c r="M13" s="100"/>
      <c r="N13" s="101"/>
    </row>
    <row r="14" spans="2:18" ht="18" x14ac:dyDescent="0.35">
      <c r="B14" s="99"/>
      <c r="C14" s="100"/>
      <c r="D14" s="123" t="s">
        <v>597</v>
      </c>
      <c r="E14" s="124"/>
      <c r="F14" s="124" t="s">
        <v>625</v>
      </c>
      <c r="G14" s="124" t="s">
        <v>626</v>
      </c>
      <c r="H14" s="124" t="s">
        <v>627</v>
      </c>
      <c r="I14" s="100"/>
      <c r="J14" s="125" t="s">
        <v>611</v>
      </c>
      <c r="K14" s="125" t="s">
        <v>612</v>
      </c>
      <c r="L14" s="125" t="s">
        <v>613</v>
      </c>
      <c r="M14" s="125" t="s">
        <v>614</v>
      </c>
      <c r="N14" s="101"/>
    </row>
    <row r="15" spans="2:18" x14ac:dyDescent="0.25">
      <c r="B15" s="99"/>
      <c r="C15" s="100"/>
      <c r="D15" s="105"/>
      <c r="E15" s="105"/>
      <c r="F15" s="119">
        <v>16</v>
      </c>
      <c r="G15" s="113">
        <v>0</v>
      </c>
      <c r="H15" s="119">
        <v>40</v>
      </c>
      <c r="I15" s="100"/>
      <c r="J15" s="106">
        <f>CL_Ea</f>
        <v>210000</v>
      </c>
      <c r="K15" s="107">
        <f>1/4*3.14*(F15/2)^4*G15</f>
        <v>0</v>
      </c>
      <c r="L15" s="108">
        <f>PI()/4*F15^2*G15</f>
        <v>0</v>
      </c>
      <c r="M15" s="109">
        <f>-H15</f>
        <v>-40</v>
      </c>
      <c r="N15" s="101"/>
    </row>
    <row r="16" spans="2:18" x14ac:dyDescent="0.25">
      <c r="B16" s="99"/>
      <c r="C16" s="100"/>
      <c r="D16" s="100"/>
      <c r="E16" s="100"/>
      <c r="F16" s="100"/>
      <c r="G16" s="100"/>
      <c r="H16" s="100"/>
      <c r="I16" s="100"/>
      <c r="J16" s="100"/>
      <c r="K16" s="100"/>
      <c r="L16" s="100"/>
      <c r="M16" s="100"/>
      <c r="N16" s="101"/>
    </row>
    <row r="17" spans="2:14" ht="18" x14ac:dyDescent="0.35">
      <c r="B17" s="99"/>
      <c r="C17" s="100"/>
      <c r="D17" s="104" t="s">
        <v>598</v>
      </c>
      <c r="E17" s="100"/>
      <c r="F17" s="100"/>
      <c r="G17" s="100"/>
      <c r="H17" s="100"/>
      <c r="I17" s="100"/>
      <c r="J17" s="125" t="s">
        <v>615</v>
      </c>
      <c r="K17" s="125" t="s">
        <v>616</v>
      </c>
      <c r="L17" s="125" t="s">
        <v>617</v>
      </c>
      <c r="M17" s="125" t="s">
        <v>618</v>
      </c>
      <c r="N17" s="101"/>
    </row>
    <row r="18" spans="2:14" x14ac:dyDescent="0.25">
      <c r="B18" s="99"/>
      <c r="C18" s="100"/>
      <c r="D18" s="113" t="s">
        <v>343</v>
      </c>
      <c r="E18" s="100"/>
      <c r="F18" s="100"/>
      <c r="G18" s="100"/>
      <c r="H18" s="100"/>
      <c r="I18" s="100"/>
      <c r="J18" s="118">
        <f>CL_Ea</f>
        <v>210000</v>
      </c>
      <c r="K18" s="116">
        <f>CL_S_ProfiledSteelData($D$18,"Iy")</f>
        <v>337400000</v>
      </c>
      <c r="L18" s="115">
        <f>CL_S_ProfiledSteelData($D$18,"A")</f>
        <v>9880</v>
      </c>
      <c r="M18" s="117">
        <f>-(CL_S_ProfiledSteelData($D$18,"h")/2+F12)</f>
        <v>-385</v>
      </c>
      <c r="N18" s="101"/>
    </row>
    <row r="19" spans="2:14" x14ac:dyDescent="0.25">
      <c r="B19" s="99"/>
      <c r="C19" s="100"/>
      <c r="D19" s="100"/>
      <c r="E19" s="100"/>
      <c r="F19" s="100"/>
      <c r="G19" s="100"/>
      <c r="H19" s="100"/>
      <c r="I19" s="100"/>
      <c r="J19" s="100"/>
      <c r="K19" s="100"/>
      <c r="L19" s="100"/>
      <c r="M19" s="100"/>
      <c r="N19" s="101"/>
    </row>
    <row r="20" spans="2:14" x14ac:dyDescent="0.25">
      <c r="B20" s="99"/>
      <c r="C20" s="100"/>
      <c r="D20" s="100"/>
      <c r="E20" s="100"/>
      <c r="F20" s="100"/>
      <c r="G20" s="100"/>
      <c r="H20" s="100"/>
      <c r="I20" s="100"/>
      <c r="J20" s="100"/>
      <c r="K20" s="100"/>
      <c r="L20" s="100"/>
      <c r="M20" s="100"/>
      <c r="N20" s="101"/>
    </row>
    <row r="21" spans="2:14" ht="18" x14ac:dyDescent="0.35">
      <c r="B21" s="99"/>
      <c r="C21" s="103" t="s">
        <v>629</v>
      </c>
      <c r="D21" s="100"/>
      <c r="E21" s="122" t="b">
        <v>1</v>
      </c>
      <c r="F21" s="100"/>
      <c r="G21" s="100"/>
      <c r="H21" s="100"/>
      <c r="I21" s="100"/>
      <c r="J21" s="100"/>
      <c r="K21" s="100"/>
      <c r="L21" s="100"/>
      <c r="M21" s="125" t="s">
        <v>624</v>
      </c>
      <c r="N21" s="101"/>
    </row>
    <row r="22" spans="2:14" x14ac:dyDescent="0.25">
      <c r="B22" s="99"/>
      <c r="C22" s="100"/>
      <c r="D22" s="100"/>
      <c r="E22" s="100"/>
      <c r="F22" s="100"/>
      <c r="G22" s="100"/>
      <c r="H22" s="100"/>
      <c r="I22" s="100"/>
      <c r="J22" s="103" t="s">
        <v>606</v>
      </c>
      <c r="K22" s="100"/>
      <c r="L22" s="100"/>
      <c r="M22" s="117" t="e">
        <f>CL_CP_zNA(J12:M12,J15:M15,J18:M18)</f>
        <v>#VALUE!</v>
      </c>
      <c r="N22" s="101"/>
    </row>
    <row r="23" spans="2:14" ht="18" x14ac:dyDescent="0.35">
      <c r="B23" s="99"/>
      <c r="C23" s="100"/>
      <c r="D23" s="124" t="s">
        <v>602</v>
      </c>
      <c r="E23" s="124" t="s">
        <v>603</v>
      </c>
      <c r="F23" s="125" t="s">
        <v>620</v>
      </c>
      <c r="G23" s="125" t="s">
        <v>623</v>
      </c>
      <c r="H23" s="100"/>
      <c r="I23" s="100"/>
      <c r="J23" s="100"/>
      <c r="K23" s="100"/>
      <c r="L23" s="100"/>
      <c r="M23" s="124" t="s">
        <v>605</v>
      </c>
      <c r="N23" s="101"/>
    </row>
    <row r="24" spans="2:14" x14ac:dyDescent="0.25">
      <c r="B24" s="99"/>
      <c r="C24" s="100"/>
      <c r="D24" s="113">
        <v>50</v>
      </c>
      <c r="E24" s="113">
        <v>99999999</v>
      </c>
      <c r="F24" s="113">
        <v>14</v>
      </c>
      <c r="G24" s="106">
        <f>CL_RC_ConcreteData(D12,"fcm")</f>
        <v>33</v>
      </c>
      <c r="H24" s="100"/>
      <c r="I24" s="100"/>
      <c r="J24" s="100"/>
      <c r="K24" s="100"/>
      <c r="L24" s="100"/>
      <c r="M24" s="127">
        <f>G12/J18*J12</f>
        <v>51.703684837563195</v>
      </c>
      <c r="N24" s="101"/>
    </row>
    <row r="25" spans="2:14" ht="18" x14ac:dyDescent="0.35">
      <c r="B25" s="99"/>
      <c r="C25" s="100"/>
      <c r="D25" s="125" t="s">
        <v>609</v>
      </c>
      <c r="E25" s="124" t="s">
        <v>601</v>
      </c>
      <c r="F25" s="129" t="s">
        <v>600</v>
      </c>
      <c r="G25" s="129"/>
      <c r="H25" s="100"/>
      <c r="I25" s="100"/>
      <c r="J25" s="100" t="str">
        <f>CL_Dr_updateRec($F$12,$G$12,0,$M$12,"cs",1)</f>
        <v>cs :ID: 1 &lt;UPDATE&gt;</v>
      </c>
      <c r="K25" s="100"/>
      <c r="L25" s="100"/>
      <c r="M25" s="100"/>
      <c r="N25" s="101"/>
    </row>
    <row r="26" spans="2:14" x14ac:dyDescent="0.25">
      <c r="B26" s="99"/>
      <c r="C26" s="100"/>
      <c r="D26" s="108">
        <f>L12</f>
        <v>179200</v>
      </c>
      <c r="E26" s="119">
        <f>(F12+G12)*2</f>
        <v>2560</v>
      </c>
      <c r="F26" s="130" t="s">
        <v>461</v>
      </c>
      <c r="G26" s="130"/>
      <c r="H26" s="100"/>
      <c r="I26" s="100"/>
      <c r="J26" s="100" t="str">
        <f>CL_Dr_updateRec(F12,$M$24,0,$M$12,"cs",2)</f>
        <v>cs :ID: 2 &lt;UPDATE&gt;</v>
      </c>
      <c r="K26" s="100"/>
      <c r="L26" s="100"/>
      <c r="M26" s="100"/>
      <c r="N26" s="101"/>
    </row>
    <row r="27" spans="2:14" x14ac:dyDescent="0.25">
      <c r="B27" s="99"/>
      <c r="C27" s="100"/>
      <c r="D27" s="100"/>
      <c r="E27" s="100"/>
      <c r="F27" s="100"/>
      <c r="G27" s="100"/>
      <c r="H27" s="100"/>
      <c r="I27" s="100"/>
      <c r="J27" s="100" t="e">
        <f>CL_Dr_updateRec(0,$G$12,0,$M$22,"cs",3)</f>
        <v>#VALUE!</v>
      </c>
      <c r="K27" s="100"/>
      <c r="L27" s="100"/>
      <c r="M27" s="100"/>
      <c r="N27" s="101"/>
    </row>
    <row r="28" spans="2:14" ht="18" x14ac:dyDescent="0.35">
      <c r="B28" s="99"/>
      <c r="C28" s="100"/>
      <c r="D28" s="126" t="s">
        <v>619</v>
      </c>
      <c r="E28" s="121">
        <f>IF(E21,CL_RC_CreepCo(E24,F24,D24,D26,E26,G24,F26),1)</f>
        <v>3.1977089032002062</v>
      </c>
      <c r="F28" s="100"/>
      <c r="G28" s="100"/>
      <c r="H28" s="100"/>
      <c r="I28" s="100"/>
      <c r="J28" s="100" t="str">
        <f>CL_Dr_updateProfile($D$18,0,$M$18,"cs",4)</f>
        <v>cs :ID: 4 &lt;UPDATE&gt;</v>
      </c>
      <c r="K28" s="100"/>
      <c r="L28" s="100"/>
      <c r="M28" s="100"/>
      <c r="N28" s="101"/>
    </row>
    <row r="29" spans="2:14" x14ac:dyDescent="0.25">
      <c r="B29" s="99"/>
      <c r="C29" s="100"/>
      <c r="D29" s="100"/>
      <c r="E29" s="100"/>
      <c r="F29" s="100"/>
      <c r="G29" s="100"/>
      <c r="H29" s="100"/>
      <c r="I29" s="100"/>
      <c r="J29" s="100"/>
      <c r="K29" s="100"/>
      <c r="L29" s="100"/>
      <c r="M29" s="100"/>
      <c r="N29" s="101"/>
    </row>
    <row r="30" spans="2:14" x14ac:dyDescent="0.25">
      <c r="B30" s="99"/>
      <c r="C30" s="100"/>
      <c r="D30" s="100"/>
      <c r="E30" s="100"/>
      <c r="F30" s="100"/>
      <c r="G30" s="100"/>
      <c r="H30" s="100"/>
      <c r="I30" s="100"/>
      <c r="J30" s="100"/>
      <c r="K30" s="100"/>
      <c r="L30" s="100"/>
      <c r="M30" s="100"/>
      <c r="N30" s="101"/>
    </row>
    <row r="31" spans="2:14" ht="18" x14ac:dyDescent="0.35">
      <c r="B31" s="99"/>
      <c r="C31" s="103" t="s">
        <v>604</v>
      </c>
      <c r="D31" s="120" t="s">
        <v>628</v>
      </c>
      <c r="E31" s="114" t="e">
        <f>CL_CP_EIeff(J12:M12,J15:M15,J18:M18,1,1,1,1)</f>
        <v>#VALUE!</v>
      </c>
      <c r="F31" s="100"/>
      <c r="G31" s="100"/>
      <c r="H31" s="100"/>
      <c r="I31" s="100"/>
      <c r="J31" s="100"/>
      <c r="K31" s="100"/>
      <c r="L31" s="100"/>
      <c r="M31" s="100"/>
      <c r="N31" s="101"/>
    </row>
    <row r="32" spans="2:14" x14ac:dyDescent="0.25">
      <c r="B32" s="99"/>
      <c r="C32" s="100"/>
      <c r="D32" s="100"/>
      <c r="E32" s="100"/>
      <c r="F32" s="100"/>
      <c r="G32" s="100"/>
      <c r="H32" s="100"/>
      <c r="I32" s="100"/>
      <c r="J32" s="100"/>
      <c r="K32" s="100"/>
      <c r="L32" s="100"/>
      <c r="M32" s="100"/>
      <c r="N32" s="101"/>
    </row>
    <row r="33" spans="2:14" x14ac:dyDescent="0.25">
      <c r="B33" s="99"/>
      <c r="C33" s="100"/>
      <c r="D33" s="100"/>
      <c r="E33" s="100"/>
      <c r="F33" s="100"/>
      <c r="G33" s="100"/>
      <c r="H33" s="100"/>
      <c r="I33" s="100"/>
      <c r="J33" s="100"/>
      <c r="K33" s="100"/>
      <c r="L33" s="100"/>
      <c r="M33" s="100"/>
      <c r="N33" s="101"/>
    </row>
    <row r="34" spans="2:14" x14ac:dyDescent="0.25">
      <c r="B34" s="99"/>
      <c r="C34" s="100"/>
      <c r="D34" s="100"/>
      <c r="E34" s="100"/>
      <c r="F34" s="100"/>
      <c r="G34" s="100"/>
      <c r="H34" s="100"/>
      <c r="I34" s="100"/>
      <c r="J34" s="100"/>
      <c r="K34" s="100"/>
      <c r="L34" s="100"/>
      <c r="M34" s="100"/>
      <c r="N34" s="101"/>
    </row>
    <row r="35" spans="2:14" x14ac:dyDescent="0.25">
      <c r="B35" s="99"/>
      <c r="C35" s="100"/>
      <c r="D35" s="100"/>
      <c r="E35" s="100"/>
      <c r="F35" s="100"/>
      <c r="G35" s="100"/>
      <c r="H35" s="100"/>
      <c r="I35" s="100"/>
      <c r="J35" s="100"/>
      <c r="K35" s="100"/>
      <c r="L35" s="100"/>
      <c r="M35" s="100"/>
      <c r="N35" s="101"/>
    </row>
    <row r="36" spans="2:14" x14ac:dyDescent="0.25">
      <c r="B36" s="99"/>
      <c r="C36" s="100"/>
      <c r="D36" s="100"/>
      <c r="E36" s="100"/>
      <c r="F36" s="100"/>
      <c r="G36" s="100"/>
      <c r="H36" s="100"/>
      <c r="I36" s="100"/>
      <c r="J36" s="100"/>
      <c r="K36" s="100"/>
      <c r="L36" s="100"/>
      <c r="M36" s="100"/>
      <c r="N36" s="101"/>
    </row>
    <row r="37" spans="2:14" ht="15.75" thickBot="1" x14ac:dyDescent="0.3">
      <c r="B37" s="110"/>
      <c r="C37" s="111"/>
      <c r="D37" s="111"/>
      <c r="E37" s="111"/>
      <c r="F37" s="111"/>
      <c r="G37" s="111"/>
      <c r="H37" s="111"/>
      <c r="I37" s="111"/>
      <c r="J37" s="111"/>
      <c r="K37" s="111"/>
      <c r="L37" s="111"/>
      <c r="M37" s="111"/>
      <c r="N37" s="112"/>
    </row>
    <row r="40" spans="2:14" ht="14.25" customHeight="1" x14ac:dyDescent="0.25"/>
  </sheetData>
  <dataConsolidate/>
  <mergeCells count="2">
    <mergeCell ref="F25:G25"/>
    <mergeCell ref="F26:G26"/>
  </mergeCells>
  <dataValidations count="2">
    <dataValidation type="list" allowBlank="1" showInputMessage="1" showErrorMessage="1" sqref="E21">
      <formula1>"FALSE,TRUE"</formula1>
    </dataValidation>
    <dataValidation type="list" allowBlank="1" showInputMessage="1" showErrorMessage="1" sqref="F26:G26">
      <formula1>"N,S,R"</formula1>
    </dataValidation>
  </dataValidations>
  <pageMargins left="0.7" right="0.7" top="0.75" bottom="0.75" header="0.3" footer="0.3"/>
  <pageSetup orientation="portrait" horizontalDpi="2400" verticalDpi="24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>
          <x14:formula1>
            <xm:f>CL_TABELS!$Z$10:$Z$23</xm:f>
          </x14:formula1>
          <xm:sqref>D12</xm:sqref>
        </x14:dataValidation>
        <x14:dataValidation type="list" allowBlank="1" showInputMessage="1" showErrorMessage="1">
          <x14:formula1>
            <xm:f>CL_TABELS!$A$10:$A$1000</xm:f>
          </x14:formula1>
          <xm:sqref>D18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S28"/>
  <sheetViews>
    <sheetView topLeftCell="A13" workbookViewId="0">
      <selection activeCell="I18" sqref="I18"/>
    </sheetView>
  </sheetViews>
  <sheetFormatPr defaultColWidth="9.140625" defaultRowHeight="15" x14ac:dyDescent="0.25"/>
  <cols>
    <col min="1" max="1" width="30.140625" style="1" customWidth="1"/>
    <col min="2" max="2" width="27.42578125" style="1" customWidth="1"/>
    <col min="3" max="3" width="9.140625" style="1"/>
    <col min="4" max="4" width="9.140625" style="85"/>
    <col min="5" max="5" width="30" style="1" customWidth="1"/>
    <col min="6" max="6" width="9.140625" style="85"/>
    <col min="7" max="7" width="22.85546875" style="1" customWidth="1"/>
    <col min="8" max="8" width="9.140625" style="85"/>
    <col min="9" max="9" width="21.85546875" style="1" customWidth="1"/>
    <col min="10" max="10" width="9.140625" style="85"/>
    <col min="11" max="11" width="27.85546875" style="1" customWidth="1"/>
    <col min="12" max="12" width="14.85546875" style="85" customWidth="1"/>
    <col min="13" max="13" width="20.7109375" style="1" customWidth="1"/>
    <col min="14" max="14" width="8.42578125" style="85" customWidth="1"/>
    <col min="15" max="15" width="17.28515625" style="1" customWidth="1"/>
    <col min="16" max="16" width="11.28515625" style="1" customWidth="1"/>
    <col min="17" max="17" width="23.140625" style="1" customWidth="1"/>
    <col min="18" max="18" width="9.140625" style="1"/>
    <col min="19" max="19" width="19.42578125" style="1" customWidth="1"/>
    <col min="20" max="16384" width="9.140625" style="1"/>
  </cols>
  <sheetData>
    <row r="1" spans="1:17" ht="18" thickBot="1" x14ac:dyDescent="0.35">
      <c r="A1" s="2" t="s">
        <v>44</v>
      </c>
      <c r="B1" s="1">
        <v>2</v>
      </c>
    </row>
    <row r="2" spans="1:17" ht="52.5" thickBot="1" x14ac:dyDescent="0.35">
      <c r="A2" s="2" t="s">
        <v>43</v>
      </c>
      <c r="B2" s="2" t="s">
        <v>42</v>
      </c>
      <c r="D2" s="86" t="s">
        <v>16</v>
      </c>
      <c r="E2" s="3" t="s">
        <v>41</v>
      </c>
      <c r="F2" s="86" t="s">
        <v>29</v>
      </c>
      <c r="G2" s="3" t="s">
        <v>28</v>
      </c>
    </row>
    <row r="3" spans="1:17" ht="34.5" x14ac:dyDescent="0.3">
      <c r="A3" s="1" t="s">
        <v>458</v>
      </c>
      <c r="B3" s="2" t="s">
        <v>40</v>
      </c>
      <c r="D3" s="85" t="s">
        <v>39</v>
      </c>
      <c r="E3" s="1" t="s">
        <v>26</v>
      </c>
      <c r="F3" s="85" t="s">
        <v>38</v>
      </c>
      <c r="G3" s="1" t="s">
        <v>37</v>
      </c>
      <c r="H3" s="85" t="s">
        <v>29</v>
      </c>
      <c r="I3" s="1" t="s">
        <v>28</v>
      </c>
      <c r="J3" s="85" t="s">
        <v>36</v>
      </c>
      <c r="K3" s="1" t="s">
        <v>35</v>
      </c>
      <c r="L3" s="85" t="s">
        <v>34</v>
      </c>
      <c r="M3" s="1" t="s">
        <v>33</v>
      </c>
    </row>
    <row r="4" spans="1:17" ht="34.5" x14ac:dyDescent="0.3">
      <c r="A4" s="1" t="s">
        <v>457</v>
      </c>
      <c r="B4" s="2" t="s">
        <v>32</v>
      </c>
      <c r="D4" s="85" t="s">
        <v>16</v>
      </c>
      <c r="E4" s="1" t="s">
        <v>31</v>
      </c>
      <c r="F4" s="85" t="s">
        <v>14</v>
      </c>
      <c r="G4" s="1" t="s">
        <v>30</v>
      </c>
      <c r="H4" s="85" t="s">
        <v>29</v>
      </c>
      <c r="I4" s="1" t="s">
        <v>28</v>
      </c>
      <c r="J4" s="85" t="s">
        <v>27</v>
      </c>
      <c r="K4" s="1" t="s">
        <v>26</v>
      </c>
    </row>
    <row r="5" spans="1:17" ht="60.75" x14ac:dyDescent="0.3">
      <c r="A5" s="1" t="s">
        <v>449</v>
      </c>
      <c r="B5" s="2" t="s">
        <v>25</v>
      </c>
      <c r="D5" s="85" t="s">
        <v>18</v>
      </c>
      <c r="E5" s="1" t="s">
        <v>24</v>
      </c>
      <c r="F5" s="85" t="s">
        <v>16</v>
      </c>
      <c r="G5" s="1" t="s">
        <v>23</v>
      </c>
      <c r="H5" s="85" t="s">
        <v>14</v>
      </c>
      <c r="I5" s="1" t="s">
        <v>22</v>
      </c>
      <c r="J5" s="85" t="s">
        <v>12</v>
      </c>
      <c r="K5" s="1" t="s">
        <v>11</v>
      </c>
      <c r="L5" s="85" t="s">
        <v>21</v>
      </c>
      <c r="M5" s="1" t="s">
        <v>20</v>
      </c>
    </row>
    <row r="6" spans="1:17" ht="75" x14ac:dyDescent="0.25">
      <c r="A6" s="1" t="s">
        <v>450</v>
      </c>
      <c r="B6" s="1" t="s">
        <v>19</v>
      </c>
      <c r="D6" s="85" t="s">
        <v>18</v>
      </c>
      <c r="E6" s="1" t="s">
        <v>17</v>
      </c>
      <c r="F6" s="85" t="s">
        <v>16</v>
      </c>
      <c r="G6" s="1" t="s">
        <v>15</v>
      </c>
      <c r="H6" s="85" t="s">
        <v>14</v>
      </c>
      <c r="I6" s="1" t="s">
        <v>13</v>
      </c>
      <c r="J6" s="85" t="s">
        <v>12</v>
      </c>
      <c r="K6" s="1" t="s">
        <v>11</v>
      </c>
    </row>
    <row r="7" spans="1:17" ht="75" x14ac:dyDescent="0.25">
      <c r="A7" s="1" t="s">
        <v>451</v>
      </c>
      <c r="B7" s="1" t="s">
        <v>10</v>
      </c>
      <c r="D7" s="85" t="s">
        <v>5</v>
      </c>
      <c r="E7" s="1" t="s">
        <v>9</v>
      </c>
      <c r="F7" s="85" t="s">
        <v>3</v>
      </c>
      <c r="G7" s="1" t="s">
        <v>8</v>
      </c>
      <c r="H7" s="85" t="s">
        <v>1</v>
      </c>
      <c r="I7" s="1" t="s">
        <v>7</v>
      </c>
    </row>
    <row r="8" spans="1:17" ht="45" x14ac:dyDescent="0.25">
      <c r="A8" s="1" t="s">
        <v>452</v>
      </c>
      <c r="B8" s="1" t="s">
        <v>6</v>
      </c>
      <c r="D8" s="85" t="s">
        <v>5</v>
      </c>
      <c r="E8" s="1" t="s">
        <v>4</v>
      </c>
      <c r="F8" s="85" t="s">
        <v>3</v>
      </c>
      <c r="G8" s="1" t="s">
        <v>2</v>
      </c>
      <c r="H8" s="85" t="s">
        <v>1</v>
      </c>
      <c r="I8" s="1" t="s">
        <v>0</v>
      </c>
    </row>
    <row r="9" spans="1:17" ht="90" x14ac:dyDescent="0.25">
      <c r="A9" s="1" t="s">
        <v>453</v>
      </c>
      <c r="B9" s="1" t="s">
        <v>68</v>
      </c>
      <c r="D9" s="85" t="s">
        <v>49</v>
      </c>
      <c r="E9" s="1" t="s">
        <v>48</v>
      </c>
      <c r="F9" s="85" t="s">
        <v>50</v>
      </c>
      <c r="G9" s="1" t="s">
        <v>47</v>
      </c>
      <c r="H9" s="85" t="s">
        <v>45</v>
      </c>
      <c r="I9" s="1" t="s">
        <v>46</v>
      </c>
    </row>
    <row r="10" spans="1:17" ht="90" x14ac:dyDescent="0.25">
      <c r="A10" s="1" t="s">
        <v>454</v>
      </c>
      <c r="B10" s="1" t="s">
        <v>69</v>
      </c>
      <c r="D10" s="85" t="s">
        <v>49</v>
      </c>
      <c r="E10" s="1" t="s">
        <v>66</v>
      </c>
      <c r="F10" s="85" t="s">
        <v>50</v>
      </c>
      <c r="G10" s="1" t="s">
        <v>67</v>
      </c>
      <c r="H10" s="85" t="s">
        <v>45</v>
      </c>
      <c r="I10" s="1" t="s">
        <v>46</v>
      </c>
    </row>
    <row r="11" spans="1:17" ht="45" x14ac:dyDescent="0.25">
      <c r="A11" s="1" t="s">
        <v>455</v>
      </c>
      <c r="B11" s="1" t="s">
        <v>73</v>
      </c>
      <c r="D11" s="85" t="s">
        <v>70</v>
      </c>
      <c r="E11" s="1" t="s">
        <v>71</v>
      </c>
      <c r="F11" s="85" t="s">
        <v>45</v>
      </c>
      <c r="G11" s="1" t="s">
        <v>72</v>
      </c>
    </row>
    <row r="12" spans="1:17" ht="45" x14ac:dyDescent="0.25">
      <c r="A12" s="1" t="s">
        <v>456</v>
      </c>
      <c r="B12" s="1" t="s">
        <v>74</v>
      </c>
      <c r="D12" s="85" t="s">
        <v>70</v>
      </c>
      <c r="E12" s="1" t="s">
        <v>71</v>
      </c>
      <c r="F12" s="85" t="s">
        <v>45</v>
      </c>
      <c r="G12" s="1" t="s">
        <v>72</v>
      </c>
    </row>
    <row r="13" spans="1:17" ht="60" x14ac:dyDescent="0.25">
      <c r="A13" s="1" t="s">
        <v>534</v>
      </c>
      <c r="B13" s="1" t="s">
        <v>75</v>
      </c>
      <c r="D13" s="85" t="s">
        <v>76</v>
      </c>
      <c r="E13" s="1" t="s">
        <v>86</v>
      </c>
      <c r="F13" s="85" t="s">
        <v>77</v>
      </c>
      <c r="G13" s="1" t="s">
        <v>87</v>
      </c>
      <c r="H13" s="85" t="s">
        <v>78</v>
      </c>
      <c r="I13" s="8" t="s">
        <v>88</v>
      </c>
      <c r="J13" s="85" t="s">
        <v>79</v>
      </c>
      <c r="K13" s="1" t="s">
        <v>80</v>
      </c>
      <c r="L13" s="85" t="s">
        <v>81</v>
      </c>
      <c r="M13" s="1" t="s">
        <v>82</v>
      </c>
      <c r="N13" s="85" t="s">
        <v>83</v>
      </c>
      <c r="O13" s="1" t="s">
        <v>89</v>
      </c>
      <c r="P13" s="1" t="s">
        <v>84</v>
      </c>
      <c r="Q13" s="1" t="s">
        <v>85</v>
      </c>
    </row>
    <row r="14" spans="1:17" ht="105" x14ac:dyDescent="0.25">
      <c r="A14" s="1" t="s">
        <v>591</v>
      </c>
      <c r="B14" s="1" t="s">
        <v>370</v>
      </c>
      <c r="D14" s="85" t="s">
        <v>371</v>
      </c>
      <c r="E14" s="1" t="s">
        <v>372</v>
      </c>
      <c r="F14" s="85" t="s">
        <v>373</v>
      </c>
      <c r="G14" s="1" t="s">
        <v>404</v>
      </c>
    </row>
    <row r="15" spans="1:17" ht="45" x14ac:dyDescent="0.25">
      <c r="A15" s="1" t="s">
        <v>592</v>
      </c>
      <c r="B15" s="1" t="s">
        <v>374</v>
      </c>
      <c r="D15" s="85" t="s">
        <v>375</v>
      </c>
      <c r="E15" s="1" t="s">
        <v>376</v>
      </c>
    </row>
    <row r="16" spans="1:17" ht="105" x14ac:dyDescent="0.25">
      <c r="A16" s="1" t="s">
        <v>400</v>
      </c>
      <c r="B16" s="1" t="s">
        <v>403</v>
      </c>
      <c r="D16" s="85" t="s">
        <v>401</v>
      </c>
      <c r="E16" s="1" t="s">
        <v>402</v>
      </c>
      <c r="F16" s="85" t="s">
        <v>373</v>
      </c>
      <c r="G16" s="1" t="s">
        <v>405</v>
      </c>
    </row>
    <row r="17" spans="1:19" ht="60" x14ac:dyDescent="0.25">
      <c r="A17" s="1" t="s">
        <v>431</v>
      </c>
      <c r="B17" s="1" t="s">
        <v>432</v>
      </c>
      <c r="D17" s="85" t="s">
        <v>433</v>
      </c>
      <c r="E17" s="1" t="s">
        <v>434</v>
      </c>
      <c r="F17" s="85" t="s">
        <v>435</v>
      </c>
      <c r="G17" s="1" t="s">
        <v>436</v>
      </c>
      <c r="H17" s="85" t="s">
        <v>437</v>
      </c>
      <c r="I17" s="1" t="s">
        <v>593</v>
      </c>
    </row>
    <row r="18" spans="1:19" ht="105" x14ac:dyDescent="0.25">
      <c r="A18" s="1" t="s">
        <v>440</v>
      </c>
      <c r="B18" s="1" t="s">
        <v>442</v>
      </c>
      <c r="D18" s="85" t="s">
        <v>401</v>
      </c>
      <c r="E18" s="1" t="s">
        <v>441</v>
      </c>
      <c r="F18" s="85" t="s">
        <v>373</v>
      </c>
      <c r="G18" s="1" t="s">
        <v>405</v>
      </c>
    </row>
    <row r="19" spans="1:19" ht="45" x14ac:dyDescent="0.25">
      <c r="A19" s="1" t="s">
        <v>443</v>
      </c>
      <c r="B19" s="1" t="s">
        <v>446</v>
      </c>
      <c r="D19" s="85" t="s">
        <v>375</v>
      </c>
      <c r="E19" s="1" t="s">
        <v>376</v>
      </c>
    </row>
    <row r="20" spans="1:19" ht="45" x14ac:dyDescent="0.25">
      <c r="A20" s="1" t="s">
        <v>444</v>
      </c>
      <c r="B20" s="1" t="s">
        <v>447</v>
      </c>
      <c r="D20" s="85" t="s">
        <v>375</v>
      </c>
      <c r="E20" s="1" t="s">
        <v>376</v>
      </c>
    </row>
    <row r="21" spans="1:19" ht="45" x14ac:dyDescent="0.25">
      <c r="A21" s="1" t="s">
        <v>445</v>
      </c>
      <c r="B21" s="1" t="s">
        <v>448</v>
      </c>
      <c r="D21" s="85" t="s">
        <v>375</v>
      </c>
      <c r="E21" s="1" t="s">
        <v>376</v>
      </c>
    </row>
    <row r="22" spans="1:19" ht="60" x14ac:dyDescent="0.25">
      <c r="A22" s="1" t="s">
        <v>470</v>
      </c>
      <c r="B22" s="1" t="s">
        <v>473</v>
      </c>
      <c r="D22" s="85" t="s">
        <v>92</v>
      </c>
      <c r="E22" s="1" t="s">
        <v>476</v>
      </c>
      <c r="F22" s="85" t="s">
        <v>39</v>
      </c>
      <c r="G22" s="1" t="s">
        <v>477</v>
      </c>
      <c r="H22" s="85" t="s">
        <v>45</v>
      </c>
      <c r="I22" s="1" t="s">
        <v>479</v>
      </c>
      <c r="J22" s="85" t="s">
        <v>464</v>
      </c>
      <c r="K22" s="1" t="s">
        <v>479</v>
      </c>
      <c r="L22" s="85" t="s">
        <v>478</v>
      </c>
      <c r="M22" s="1" t="s">
        <v>480</v>
      </c>
    </row>
    <row r="23" spans="1:19" ht="48" customHeight="1" x14ac:dyDescent="0.25">
      <c r="A23" s="1" t="s">
        <v>471</v>
      </c>
      <c r="B23" s="1" t="s">
        <v>474</v>
      </c>
      <c r="D23" s="85" t="s">
        <v>92</v>
      </c>
      <c r="E23" s="1" t="s">
        <v>476</v>
      </c>
      <c r="F23" s="85" t="s">
        <v>39</v>
      </c>
      <c r="G23" s="1" t="s">
        <v>477</v>
      </c>
      <c r="H23" s="85" t="s">
        <v>469</v>
      </c>
      <c r="I23" s="1" t="s">
        <v>481</v>
      </c>
      <c r="J23" s="85" t="s">
        <v>468</v>
      </c>
      <c r="K23" s="1" t="s">
        <v>482</v>
      </c>
      <c r="L23" s="85" t="s">
        <v>45</v>
      </c>
      <c r="M23" s="1" t="s">
        <v>479</v>
      </c>
      <c r="N23" s="85" t="s">
        <v>464</v>
      </c>
      <c r="O23" s="1" t="s">
        <v>479</v>
      </c>
      <c r="P23" s="1" t="s">
        <v>478</v>
      </c>
      <c r="Q23" s="1" t="s">
        <v>480</v>
      </c>
    </row>
    <row r="24" spans="1:19" ht="60" x14ac:dyDescent="0.25">
      <c r="A24" s="1" t="s">
        <v>472</v>
      </c>
      <c r="B24" s="1" t="s">
        <v>475</v>
      </c>
      <c r="D24" s="85" t="s">
        <v>70</v>
      </c>
      <c r="E24" s="1" t="s">
        <v>483</v>
      </c>
      <c r="F24" s="85" t="s">
        <v>484</v>
      </c>
      <c r="G24" s="1" t="s">
        <v>485</v>
      </c>
      <c r="H24" s="85" t="s">
        <v>45</v>
      </c>
      <c r="I24" s="1" t="s">
        <v>479</v>
      </c>
      <c r="J24" s="85" t="s">
        <v>464</v>
      </c>
      <c r="K24" s="1" t="s">
        <v>479</v>
      </c>
      <c r="L24" s="85" t="s">
        <v>478</v>
      </c>
      <c r="M24" s="1" t="s">
        <v>492</v>
      </c>
    </row>
    <row r="25" spans="1:19" ht="45" x14ac:dyDescent="0.25">
      <c r="A25" s="1" t="s">
        <v>486</v>
      </c>
      <c r="B25" s="1" t="s">
        <v>489</v>
      </c>
      <c r="D25" s="85" t="s">
        <v>92</v>
      </c>
      <c r="E25" s="1" t="s">
        <v>476</v>
      </c>
      <c r="F25" s="85" t="s">
        <v>39</v>
      </c>
      <c r="G25" s="1" t="s">
        <v>477</v>
      </c>
      <c r="H25" s="85" t="s">
        <v>45</v>
      </c>
      <c r="I25" s="1" t="s">
        <v>479</v>
      </c>
      <c r="J25" s="85" t="s">
        <v>464</v>
      </c>
      <c r="K25" s="1" t="s">
        <v>479</v>
      </c>
      <c r="L25" s="85" t="s">
        <v>478</v>
      </c>
      <c r="M25" s="1" t="s">
        <v>491</v>
      </c>
      <c r="N25" s="85" t="s">
        <v>493</v>
      </c>
      <c r="O25" s="1" t="s">
        <v>501</v>
      </c>
    </row>
    <row r="26" spans="1:19" ht="30" x14ac:dyDescent="0.25">
      <c r="A26" s="1" t="s">
        <v>488</v>
      </c>
      <c r="B26" s="1" t="s">
        <v>490</v>
      </c>
      <c r="D26" s="85" t="s">
        <v>92</v>
      </c>
      <c r="E26" s="1" t="s">
        <v>476</v>
      </c>
      <c r="F26" s="85" t="s">
        <v>39</v>
      </c>
      <c r="G26" s="1" t="s">
        <v>477</v>
      </c>
      <c r="H26" s="85" t="s">
        <v>469</v>
      </c>
      <c r="I26" s="1" t="s">
        <v>481</v>
      </c>
      <c r="J26" s="85" t="s">
        <v>468</v>
      </c>
      <c r="K26" s="1" t="s">
        <v>482</v>
      </c>
      <c r="L26" s="85" t="s">
        <v>45</v>
      </c>
      <c r="M26" s="1" t="s">
        <v>494</v>
      </c>
      <c r="N26" s="85" t="s">
        <v>464</v>
      </c>
      <c r="O26" s="1" t="s">
        <v>495</v>
      </c>
      <c r="P26" s="1" t="s">
        <v>478</v>
      </c>
      <c r="Q26" s="1" t="s">
        <v>496</v>
      </c>
      <c r="R26" s="1" t="s">
        <v>493</v>
      </c>
      <c r="S26" s="1" t="s">
        <v>501</v>
      </c>
    </row>
    <row r="27" spans="1:19" ht="45" x14ac:dyDescent="0.25">
      <c r="A27" s="1" t="s">
        <v>487</v>
      </c>
      <c r="B27" s="1" t="s">
        <v>502</v>
      </c>
      <c r="D27" s="85" t="s">
        <v>70</v>
      </c>
      <c r="E27" s="1" t="s">
        <v>483</v>
      </c>
      <c r="F27" s="85" t="s">
        <v>484</v>
      </c>
      <c r="G27" s="1" t="s">
        <v>500</v>
      </c>
      <c r="H27" s="85" t="s">
        <v>45</v>
      </c>
      <c r="I27" s="1" t="s">
        <v>499</v>
      </c>
      <c r="J27" s="85" t="s">
        <v>464</v>
      </c>
      <c r="K27" s="1" t="s">
        <v>498</v>
      </c>
      <c r="L27" s="85" t="s">
        <v>478</v>
      </c>
      <c r="M27" s="1" t="s">
        <v>497</v>
      </c>
      <c r="N27" s="85" t="s">
        <v>493</v>
      </c>
      <c r="O27" s="1" t="s">
        <v>501</v>
      </c>
    </row>
    <row r="28" spans="1:19" ht="45" x14ac:dyDescent="0.25">
      <c r="A28" s="1" t="s">
        <v>535</v>
      </c>
      <c r="B28" s="1" t="s">
        <v>541</v>
      </c>
      <c r="D28" s="85" t="s">
        <v>536</v>
      </c>
      <c r="E28" s="1" t="s">
        <v>542</v>
      </c>
      <c r="F28" s="85" t="s">
        <v>537</v>
      </c>
      <c r="G28" s="1" t="s">
        <v>538</v>
      </c>
      <c r="H28" s="85" t="s">
        <v>539</v>
      </c>
      <c r="I28" s="1" t="s">
        <v>540</v>
      </c>
    </row>
  </sheetData>
  <pageMargins left="0.7" right="0.7" top="0.75" bottom="0.75" header="0.3" footer="0.3"/>
  <pageSetup orientation="portrait" r:id="rId1"/>
</worksheet>
</file>

<file path=customUI/_rels/customUI14.xml.rels><?xml version="1.0" encoding="UTF-8" standalone="yes"?>
<Relationships xmlns="http://schemas.openxmlformats.org/package/2006/relationships"><Relationship Id="drcir2" Type="http://schemas.openxmlformats.org/officeDocument/2006/relationships/image" Target="images/drcir2.PNG"/><Relationship Id="units2" Type="http://schemas.openxmlformats.org/officeDocument/2006/relationships/image" Target="images/units2.PNG"/><Relationship Id="Lists2" Type="http://schemas.openxmlformats.org/officeDocument/2006/relationships/image" Target="images/Lists2.PNG"/><Relationship Id="copypaste2" Type="http://schemas.openxmlformats.org/officeDocument/2006/relationships/image" Target="images/copypaste2.PNG"/><Relationship Id="drrec1" Type="http://schemas.openxmlformats.org/officeDocument/2006/relationships/image" Target="images/drrec1.PNG"/><Relationship Id="subcripts2" Type="http://schemas.openxmlformats.org/officeDocument/2006/relationships/image" Target="images/subcripts2.PNG"/><Relationship Id="drawprof2" Type="http://schemas.openxmlformats.org/officeDocument/2006/relationships/image" Target="images/drawprof2.PNG"/><Relationship Id="main1" Type="http://schemas.openxmlformats.org/officeDocument/2006/relationships/image" Target="images/main1.PNG"/></Relationships>
</file>

<file path=customUI/customUI14.xml><?xml version="1.0" encoding="utf-8"?>
<customUI xmlns="http://schemas.microsoft.com/office/2009/07/customui">
  <ribbon startFromScratch="false">
    <tabs>
      <tab id="customTab" label="CIVIL LAB">
        <group id="customGroup" label="Open Main menu">
          <button id="main" label="open menu" image="main1" size="large" onAction="openMeinMenu"/>
        </group>
        <group id="General" label="General">
          <button id="scripts" label="Sub/Superscripts and GreekLetter" image="subcripts2" size="large" onAction="opSSScriptM"/>
          <button id="uniteditor" label="Units Editor" image="units2" size="large" onAction="openunitM"/>
          <button id="procopypaste" label="pro Copy Paste" image="copypaste2" size="large" onAction="ProcopypastM"/>
        </group>
        <group id="Drawings" label="Drawings">
          <button id="dr_rec" label="Draw Rectangel" image="drrec1" size="large" onAction="DrawRecM"/>
          <button id="dr_cir" label="Draw Circle" image="drcir2" size="large" onAction="DrawCirM"/>
          <button id="dr_prof" label="Draw Steel profiles" image="drawprof2" size="large" onAction="DrawProfM"/>
        </group>
        <group id="CivilEngineering" label="Civilengineering">
          <button id="generatelist" label="Generate lists" image="Lists2" size="large" onAction="GenerateListM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CL_TABELS</vt:lpstr>
      <vt:lpstr>CL_drawing</vt:lpstr>
      <vt:lpstr>Mainpage</vt:lpstr>
      <vt:lpstr>Effective stiffness</vt:lpstr>
      <vt:lpstr>_IntelliSense_</vt:lpstr>
      <vt:lpstr>CL_TABELS!cc_2</vt:lpstr>
      <vt:lpstr>CL_TABELS!cov</vt:lpstr>
      <vt:lpstr>CL_TABELS!Greekletter_Table</vt:lpstr>
      <vt:lpstr>CL_TABELS!u_ck</vt:lpstr>
      <vt:lpstr>CL_TABELS!U_From</vt:lpstr>
      <vt:lpstr>CL_TABELS!U_to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2019-12-03T17:27:08Z</dcterms:modified>
</cp:coreProperties>
</file>