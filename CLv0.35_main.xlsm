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units.png" ContentType="image/.PNG"/>
  <Override PartName="/customUI/images/Lists2.png" ContentType="image/.PNG"/>
  <Override PartName="/customUI/images/copypaste2.png" ContentType="image/.PNG"/>
  <Override PartName="/customUI/images/levelsum.png" ContentType="image/.PNG"/>
  <Override PartName="/customUI/images/GroupColor.png" ContentType="image/.PNG"/>
  <Override PartName="/customUI/images/ECC.png" ContentType="image/.PNG"/>
  <Override PartName="/customUI/images/formatting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6cca6e6460240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ney-my.sharepoint.com/personal/qzh_ney_partners/Documents/For work/Excel Cal/CivilLAB Main/"/>
    </mc:Choice>
  </mc:AlternateContent>
  <xr:revisionPtr revIDLastSave="15" documentId="8_{82CD3BE9-25B5-4854-B32C-C209283B3EF8}" xr6:coauthVersionLast="47" xr6:coauthVersionMax="47" xr10:uidLastSave="{967FE19A-64F4-4404-B5C9-28770F75CE8F}"/>
  <bookViews>
    <workbookView xWindow="0" yWindow="0" windowWidth="28725" windowHeight="15600" firstSheet="1" activeTab="1" xr2:uid="{00000000-000D-0000-FFFF-FFFF00000000}"/>
  </bookViews>
  <sheets>
    <sheet name="CL_Tables" sheetId="5" state="hidden" r:id="rId1"/>
    <sheet name="Quick Deflection Check" sheetId="6" r:id="rId2"/>
    <sheet name="_IntelliSense_" sheetId="2" state="hidden" r:id="rId3"/>
  </sheets>
  <functionGroups builtInGroupCount="19"/>
  <definedNames>
    <definedName name="_Qcq1">#REF!</definedName>
    <definedName name="_Qcq2">#REF!</definedName>
    <definedName name="_Qcq3">#REF!</definedName>
    <definedName name="_Qcq4">#REF!</definedName>
    <definedName name="_Qcq5">#REF!</definedName>
    <definedName name="_Qcq6">#REF!</definedName>
    <definedName name="_Qcq7">#REF!</definedName>
    <definedName name="_Qcq8">#REF!</definedName>
    <definedName name="_Qcq9">#REF!</definedName>
    <definedName name="Circ1">#REF!</definedName>
    <definedName name="Ligne1">#REF!</definedName>
    <definedName name="NbLigne">#REF!</definedName>
    <definedName name="Rect1">#REF!</definedName>
    <definedName name="TypeSect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04" i="5" l="1"/>
  <c r="Q635" i="5"/>
  <c r="K635" i="5"/>
  <c r="E635" i="5"/>
  <c r="Q621" i="5"/>
  <c r="K621" i="5"/>
  <c r="E648" i="5"/>
  <c r="E620" i="5"/>
  <c r="G394" i="5"/>
  <c r="G395" i="5"/>
  <c r="R395" i="5"/>
  <c r="G396" i="5"/>
  <c r="J396" i="5"/>
  <c r="K396" i="5"/>
  <c r="L396" i="5"/>
  <c r="M396" i="5"/>
  <c r="P396" i="5"/>
  <c r="Q396" i="5"/>
  <c r="G397" i="5"/>
  <c r="K397" i="5"/>
  <c r="L397" i="5"/>
  <c r="M397" i="5"/>
  <c r="G398" i="5"/>
  <c r="G399" i="5"/>
  <c r="R399" i="5"/>
  <c r="G400" i="5"/>
  <c r="J400" i="5"/>
  <c r="J456" i="5" s="1"/>
  <c r="K400" i="5"/>
  <c r="K456" i="5" s="1"/>
  <c r="L400" i="5"/>
  <c r="L456" i="5" s="1"/>
  <c r="M400" i="5"/>
  <c r="M456" i="5" s="1"/>
  <c r="P400" i="5"/>
  <c r="Q400" i="5"/>
  <c r="G401" i="5"/>
  <c r="K401" i="5"/>
  <c r="L401" i="5"/>
  <c r="L457" i="5" s="1"/>
  <c r="M401" i="5"/>
  <c r="M457" i="5" s="1"/>
  <c r="G402" i="5"/>
  <c r="G403" i="5"/>
  <c r="R403" i="5"/>
  <c r="G404" i="5"/>
  <c r="J404" i="5"/>
  <c r="K404" i="5"/>
  <c r="L404" i="5"/>
  <c r="M404" i="5"/>
  <c r="P404" i="5"/>
  <c r="Q404" i="5"/>
  <c r="G405" i="5"/>
  <c r="K405" i="5"/>
  <c r="L405" i="5"/>
  <c r="M405" i="5"/>
  <c r="G406" i="5"/>
  <c r="G407" i="5"/>
  <c r="M407" i="5"/>
  <c r="R407" i="5"/>
  <c r="G408" i="5"/>
  <c r="J408" i="5"/>
  <c r="K409" i="5" s="1"/>
  <c r="L408" i="5"/>
  <c r="M409" i="5" s="1"/>
  <c r="P408" i="5"/>
  <c r="Q408" i="5"/>
  <c r="G409" i="5"/>
  <c r="J409" i="5"/>
  <c r="L409" i="5"/>
  <c r="G410" i="5"/>
  <c r="G411" i="5"/>
  <c r="M411" i="5"/>
  <c r="R411" i="5"/>
  <c r="G412" i="5"/>
  <c r="P412" i="5"/>
  <c r="Q412" i="5"/>
  <c r="G413" i="5"/>
  <c r="J413" i="5"/>
  <c r="K413" i="5"/>
  <c r="L413" i="5"/>
  <c r="M413" i="5"/>
  <c r="G414" i="5"/>
  <c r="G415" i="5"/>
  <c r="M415" i="5"/>
  <c r="Q415" i="5"/>
  <c r="R415" i="5"/>
  <c r="G416" i="5"/>
  <c r="P416" i="5"/>
  <c r="Q416" i="5"/>
  <c r="G417" i="5"/>
  <c r="J417" i="5"/>
  <c r="K417" i="5"/>
  <c r="L417" i="5"/>
  <c r="M417" i="5"/>
  <c r="G418" i="5"/>
  <c r="G419" i="5"/>
  <c r="M419" i="5"/>
  <c r="G420" i="5"/>
  <c r="P420" i="5"/>
  <c r="Q420" i="5"/>
  <c r="G421" i="5"/>
  <c r="J421" i="5"/>
  <c r="K421" i="5"/>
  <c r="L421" i="5"/>
  <c r="M421" i="5"/>
  <c r="G422" i="5"/>
  <c r="G423" i="5"/>
  <c r="M423" i="5"/>
  <c r="G424" i="5"/>
  <c r="P424" i="5"/>
  <c r="Q424" i="5"/>
  <c r="G425" i="5"/>
  <c r="J425" i="5"/>
  <c r="K425" i="5"/>
  <c r="L425" i="5"/>
  <c r="M425" i="5"/>
  <c r="G426" i="5"/>
  <c r="G427" i="5"/>
  <c r="M427" i="5"/>
  <c r="G428" i="5"/>
  <c r="G429" i="5"/>
  <c r="J429" i="5"/>
  <c r="K429" i="5"/>
  <c r="L429" i="5"/>
  <c r="M429" i="5"/>
  <c r="G430" i="5"/>
  <c r="G431" i="5"/>
  <c r="G432" i="5"/>
  <c r="S432" i="5"/>
  <c r="G433" i="5"/>
  <c r="J433" i="5"/>
  <c r="L433" i="5"/>
  <c r="S433" i="5"/>
  <c r="U433" i="5"/>
  <c r="V433" i="5"/>
  <c r="G434" i="5"/>
  <c r="S434" i="5"/>
  <c r="G435" i="5"/>
  <c r="J435" i="5"/>
  <c r="S435" i="5"/>
  <c r="U435" i="5"/>
  <c r="V435" i="5"/>
  <c r="G436" i="5"/>
  <c r="S436" i="5"/>
  <c r="G437" i="5"/>
  <c r="J437" i="5"/>
  <c r="L437" i="5"/>
  <c r="S437" i="5"/>
  <c r="U437" i="5"/>
  <c r="V437" i="5"/>
  <c r="G438" i="5"/>
  <c r="S438" i="5"/>
  <c r="G439" i="5"/>
  <c r="J439" i="5"/>
  <c r="L439" i="5"/>
  <c r="S439" i="5"/>
  <c r="U439" i="5"/>
  <c r="V439" i="5"/>
  <c r="G440" i="5"/>
  <c r="S440" i="5"/>
  <c r="G441" i="5"/>
  <c r="J441" i="5"/>
  <c r="L441" i="5"/>
  <c r="S441" i="5"/>
  <c r="U441" i="5"/>
  <c r="V441" i="5"/>
  <c r="G442" i="5"/>
  <c r="S442" i="5"/>
  <c r="G443" i="5"/>
  <c r="J443" i="5"/>
  <c r="L443" i="5"/>
  <c r="S443" i="5"/>
  <c r="U443" i="5"/>
  <c r="V443" i="5"/>
  <c r="G444" i="5"/>
  <c r="S444" i="5"/>
  <c r="G445" i="5"/>
  <c r="J445" i="5"/>
  <c r="L445" i="5"/>
  <c r="S445" i="5"/>
  <c r="U445" i="5"/>
  <c r="V445" i="5"/>
  <c r="G446" i="5"/>
  <c r="G447" i="5"/>
  <c r="J447" i="5"/>
  <c r="L447" i="5"/>
  <c r="U447" i="5"/>
  <c r="V447" i="5"/>
  <c r="G448" i="5"/>
  <c r="G449" i="5"/>
  <c r="J449" i="5"/>
  <c r="L449" i="5"/>
  <c r="U449" i="5"/>
  <c r="V449" i="5"/>
  <c r="G450" i="5"/>
  <c r="G451" i="5"/>
  <c r="J451" i="5"/>
  <c r="L451" i="5"/>
  <c r="U451" i="5"/>
  <c r="V451" i="5"/>
  <c r="G452" i="5"/>
  <c r="O452" i="5"/>
  <c r="G453" i="5"/>
  <c r="U453" i="5"/>
  <c r="V453" i="5"/>
  <c r="G454" i="5"/>
  <c r="I454" i="5"/>
  <c r="J454" i="5"/>
  <c r="K454" i="5"/>
  <c r="L454" i="5"/>
  <c r="M454" i="5"/>
  <c r="N454" i="5"/>
  <c r="O454" i="5"/>
  <c r="U454" i="5"/>
  <c r="V454" i="5"/>
  <c r="G455" i="5"/>
  <c r="I455" i="5"/>
  <c r="J455" i="5"/>
  <c r="K455" i="5"/>
  <c r="L455" i="5"/>
  <c r="M455" i="5"/>
  <c r="N455" i="5"/>
  <c r="O455" i="5"/>
  <c r="U455" i="5"/>
  <c r="V455" i="5"/>
  <c r="G456" i="5"/>
  <c r="I456" i="5"/>
  <c r="N456" i="5"/>
  <c r="O456" i="5"/>
  <c r="U456" i="5"/>
  <c r="V456" i="5"/>
  <c r="G457" i="5"/>
  <c r="I457" i="5"/>
  <c r="J457" i="5"/>
  <c r="K457" i="5"/>
  <c r="N457" i="5"/>
  <c r="O457" i="5"/>
  <c r="U457" i="5"/>
  <c r="V457" i="5"/>
  <c r="G458" i="5"/>
  <c r="O458" i="5"/>
  <c r="G459" i="5"/>
  <c r="G460" i="5"/>
  <c r="N460" i="5"/>
  <c r="O461" i="5" s="1"/>
  <c r="P460" i="5"/>
  <c r="G461" i="5"/>
  <c r="N461" i="5"/>
  <c r="Q461" i="5"/>
  <c r="P461" i="5" s="1"/>
  <c r="R461" i="5"/>
  <c r="G462" i="5"/>
  <c r="I462" i="5"/>
  <c r="J462" i="5"/>
  <c r="L462" i="5"/>
  <c r="M462" i="5"/>
  <c r="Q462" i="5"/>
  <c r="P462" i="5" s="1"/>
  <c r="G463" i="5"/>
  <c r="N463" i="5"/>
  <c r="O464" i="5" s="1"/>
  <c r="P463" i="5"/>
  <c r="G464" i="5"/>
  <c r="N464" i="5"/>
  <c r="Q464" i="5"/>
  <c r="P464" i="5" s="1"/>
  <c r="R464" i="5"/>
  <c r="G465" i="5"/>
  <c r="I465" i="5"/>
  <c r="J465" i="5"/>
  <c r="L465" i="5"/>
  <c r="M465" i="5"/>
  <c r="Q465" i="5"/>
  <c r="P465" i="5" s="1"/>
  <c r="G466" i="5"/>
  <c r="P466" i="5"/>
  <c r="G467" i="5"/>
  <c r="N467" i="5"/>
  <c r="O467" i="5"/>
  <c r="Q467" i="5"/>
  <c r="P467" i="5" s="1"/>
  <c r="R467" i="5"/>
  <c r="G468" i="5"/>
  <c r="I468" i="5"/>
  <c r="J468" i="5"/>
  <c r="L468" i="5"/>
  <c r="M468" i="5"/>
  <c r="Q468" i="5"/>
  <c r="P468" i="5" s="1"/>
  <c r="G469" i="5"/>
  <c r="P469" i="5"/>
  <c r="G470" i="5"/>
  <c r="N470" i="5"/>
  <c r="O470" i="5"/>
  <c r="Q470" i="5"/>
  <c r="P470" i="5" s="1"/>
  <c r="R470" i="5"/>
  <c r="G471" i="5"/>
  <c r="I471" i="5"/>
  <c r="J471" i="5"/>
  <c r="L471" i="5"/>
  <c r="M471" i="5"/>
  <c r="Q471" i="5"/>
  <c r="P471" i="5" s="1"/>
  <c r="G472" i="5"/>
  <c r="P472" i="5"/>
  <c r="G473" i="5"/>
  <c r="N473" i="5"/>
  <c r="O473" i="5"/>
  <c r="Q473" i="5"/>
  <c r="P473" i="5" s="1"/>
  <c r="R473" i="5"/>
  <c r="G474" i="5"/>
  <c r="I474" i="5"/>
  <c r="J474" i="5"/>
  <c r="L474" i="5"/>
  <c r="M474" i="5"/>
  <c r="Q474" i="5"/>
  <c r="P474" i="5" s="1"/>
  <c r="G475" i="5"/>
  <c r="N475" i="5"/>
  <c r="P475" i="5"/>
  <c r="G476" i="5"/>
  <c r="N476" i="5"/>
  <c r="Q476" i="5"/>
  <c r="P476" i="5" s="1"/>
  <c r="R476" i="5"/>
  <c r="G477" i="5"/>
  <c r="I477" i="5"/>
  <c r="J477" i="5"/>
  <c r="L477" i="5"/>
  <c r="M477" i="5"/>
  <c r="Q477" i="5"/>
  <c r="P477" i="5" s="1"/>
  <c r="G478" i="5"/>
  <c r="N478" i="5"/>
  <c r="P478" i="5"/>
  <c r="G479" i="5"/>
  <c r="N479" i="5"/>
  <c r="Q479" i="5"/>
  <c r="P479" i="5" s="1"/>
  <c r="R479" i="5"/>
  <c r="G480" i="5"/>
  <c r="I480" i="5"/>
  <c r="J480" i="5"/>
  <c r="L480" i="5"/>
  <c r="M480" i="5"/>
  <c r="Q480" i="5"/>
  <c r="P480" i="5" s="1"/>
  <c r="G481" i="5"/>
  <c r="N481" i="5"/>
  <c r="P481" i="5"/>
  <c r="G482" i="5"/>
  <c r="N482" i="5"/>
  <c r="Q482" i="5"/>
  <c r="P482" i="5" s="1"/>
  <c r="R482" i="5"/>
  <c r="G483" i="5"/>
  <c r="I483" i="5"/>
  <c r="J483" i="5"/>
  <c r="L483" i="5"/>
  <c r="M483" i="5"/>
  <c r="Q483" i="5"/>
  <c r="P483" i="5" s="1"/>
  <c r="G484" i="5"/>
  <c r="N484" i="5"/>
  <c r="P484" i="5"/>
  <c r="G485" i="5"/>
  <c r="N485" i="5"/>
  <c r="Q485" i="5"/>
  <c r="P485" i="5" s="1"/>
  <c r="R485" i="5"/>
  <c r="G486" i="5"/>
  <c r="I486" i="5"/>
  <c r="J486" i="5"/>
  <c r="L486" i="5"/>
  <c r="M486" i="5"/>
  <c r="Q486" i="5"/>
  <c r="P486" i="5" s="1"/>
  <c r="G487" i="5"/>
  <c r="P487" i="5"/>
  <c r="G488" i="5"/>
  <c r="I488" i="5"/>
  <c r="J488" i="5"/>
  <c r="L488" i="5"/>
  <c r="M488" i="5"/>
  <c r="Q488" i="5"/>
  <c r="P488" i="5" s="1"/>
  <c r="G489" i="5"/>
  <c r="P489" i="5"/>
  <c r="G490" i="5"/>
  <c r="I490" i="5"/>
  <c r="J490" i="5"/>
  <c r="L490" i="5"/>
  <c r="M490" i="5"/>
  <c r="Q490" i="5"/>
  <c r="P490" i="5" s="1"/>
  <c r="G491" i="5"/>
  <c r="P491" i="5"/>
  <c r="G492" i="5"/>
  <c r="I492" i="5"/>
  <c r="J492" i="5"/>
  <c r="L492" i="5"/>
  <c r="M492" i="5"/>
  <c r="Q492" i="5"/>
  <c r="P492" i="5" s="1"/>
  <c r="G493" i="5"/>
  <c r="P493" i="5"/>
  <c r="G494" i="5"/>
  <c r="I494" i="5"/>
  <c r="J494" i="5"/>
  <c r="K494" i="5"/>
  <c r="L494" i="5"/>
  <c r="M494" i="5"/>
  <c r="Q494" i="5"/>
  <c r="P494" i="5" s="1"/>
  <c r="G495" i="5"/>
  <c r="P495" i="5"/>
  <c r="G496" i="5"/>
  <c r="I496" i="5"/>
  <c r="J496" i="5"/>
  <c r="K496" i="5"/>
  <c r="L496" i="5"/>
  <c r="M496" i="5"/>
  <c r="Q496" i="5"/>
  <c r="P496" i="5" s="1"/>
  <c r="G497" i="5"/>
  <c r="P497" i="5"/>
  <c r="G498" i="5"/>
  <c r="I498" i="5"/>
  <c r="J498" i="5"/>
  <c r="K498" i="5"/>
  <c r="L498" i="5"/>
  <c r="M498" i="5"/>
  <c r="Q498" i="5"/>
  <c r="P498" i="5" s="1"/>
  <c r="G499" i="5"/>
  <c r="P499" i="5"/>
  <c r="G500" i="5"/>
  <c r="I500" i="5"/>
  <c r="J500" i="5"/>
  <c r="L500" i="5"/>
  <c r="M500" i="5"/>
  <c r="Q500" i="5"/>
  <c r="P500" i="5" s="1"/>
  <c r="G501" i="5"/>
  <c r="P501" i="5"/>
  <c r="G502" i="5"/>
  <c r="I502" i="5"/>
  <c r="J502" i="5"/>
  <c r="L502" i="5"/>
  <c r="M502" i="5"/>
  <c r="Q502" i="5"/>
  <c r="P502" i="5" s="1"/>
  <c r="G503" i="5"/>
  <c r="P503" i="5"/>
  <c r="G504" i="5"/>
  <c r="I504" i="5"/>
  <c r="J504" i="5"/>
  <c r="L504" i="5"/>
  <c r="M504" i="5"/>
  <c r="Q504" i="5"/>
  <c r="P504" i="5" s="1"/>
  <c r="G505" i="5"/>
  <c r="P505" i="5"/>
  <c r="G506" i="5"/>
  <c r="I506" i="5"/>
  <c r="J506" i="5"/>
  <c r="L506" i="5"/>
  <c r="M506" i="5"/>
  <c r="Q506" i="5"/>
  <c r="P506" i="5" s="1"/>
  <c r="G507" i="5"/>
  <c r="P507" i="5"/>
  <c r="G508" i="5"/>
  <c r="I508" i="5"/>
  <c r="J508" i="5"/>
  <c r="L508" i="5"/>
  <c r="M508" i="5"/>
  <c r="Q508" i="5"/>
  <c r="P508" i="5" s="1"/>
  <c r="G509" i="5"/>
  <c r="P509" i="5"/>
  <c r="G510" i="5"/>
  <c r="I510" i="5"/>
  <c r="J510" i="5"/>
  <c r="L510" i="5"/>
  <c r="M510" i="5"/>
  <c r="Q510" i="5"/>
  <c r="P510" i="5" s="1"/>
  <c r="G511" i="5"/>
  <c r="P511" i="5"/>
  <c r="G512" i="5"/>
  <c r="I512" i="5"/>
  <c r="J512" i="5"/>
  <c r="L512" i="5"/>
  <c r="M512" i="5"/>
  <c r="Q512" i="5"/>
  <c r="P512" i="5" s="1"/>
  <c r="G513" i="5"/>
  <c r="P513" i="5"/>
  <c r="G514" i="5"/>
  <c r="I514" i="5"/>
  <c r="J514" i="5"/>
  <c r="L514" i="5"/>
  <c r="M514" i="5"/>
  <c r="Q514" i="5"/>
  <c r="P514" i="5" s="1"/>
  <c r="G515" i="5"/>
  <c r="P515" i="5"/>
  <c r="G516" i="5"/>
  <c r="I516" i="5"/>
  <c r="J516" i="5"/>
  <c r="L516" i="5"/>
  <c r="M516" i="5"/>
  <c r="Q516" i="5"/>
  <c r="P516" i="5" s="1"/>
  <c r="G517" i="5"/>
  <c r="P517" i="5"/>
  <c r="G518" i="5"/>
  <c r="I518" i="5"/>
  <c r="J518" i="5"/>
  <c r="L518" i="5"/>
  <c r="M518" i="5"/>
  <c r="Q518" i="5"/>
  <c r="P518" i="5" s="1"/>
  <c r="G519" i="5"/>
  <c r="P519" i="5"/>
  <c r="G520" i="5"/>
  <c r="I520" i="5"/>
  <c r="J520" i="5"/>
  <c r="L520" i="5"/>
  <c r="M520" i="5"/>
  <c r="Q520" i="5"/>
  <c r="P520" i="5" s="1"/>
  <c r="G521" i="5"/>
  <c r="P521" i="5"/>
  <c r="G522" i="5"/>
  <c r="I522" i="5"/>
  <c r="J522" i="5"/>
  <c r="L522" i="5"/>
  <c r="M522" i="5"/>
  <c r="Q522" i="5"/>
  <c r="P522" i="5" s="1"/>
  <c r="G523" i="5"/>
  <c r="P523" i="5"/>
  <c r="G524" i="5"/>
  <c r="I524" i="5"/>
  <c r="J524" i="5"/>
  <c r="L524" i="5"/>
  <c r="M524" i="5"/>
  <c r="Q524" i="5"/>
  <c r="P524" i="5" s="1"/>
  <c r="G525" i="5"/>
  <c r="P525" i="5"/>
  <c r="G526" i="5"/>
  <c r="I526" i="5"/>
  <c r="J526" i="5"/>
  <c r="L526" i="5"/>
  <c r="M526" i="5"/>
  <c r="Q526" i="5"/>
  <c r="P526" i="5" s="1"/>
  <c r="G527" i="5"/>
  <c r="P527" i="5"/>
  <c r="G528" i="5"/>
  <c r="I528" i="5"/>
  <c r="J528" i="5"/>
  <c r="L528" i="5"/>
  <c r="M528" i="5"/>
  <c r="Q528" i="5"/>
  <c r="P528" i="5" s="1"/>
  <c r="G529" i="5"/>
  <c r="P529" i="5"/>
  <c r="G530" i="5"/>
  <c r="I530" i="5"/>
  <c r="J530" i="5"/>
  <c r="L530" i="5"/>
  <c r="M530" i="5"/>
  <c r="Q530" i="5"/>
  <c r="P530" i="5" s="1"/>
  <c r="G531" i="5"/>
  <c r="P531" i="5"/>
  <c r="G532" i="5"/>
  <c r="I532" i="5"/>
  <c r="J532" i="5"/>
  <c r="L532" i="5"/>
  <c r="M532" i="5"/>
  <c r="Q532" i="5"/>
  <c r="P532" i="5" s="1"/>
  <c r="G533" i="5"/>
  <c r="P533" i="5"/>
  <c r="G534" i="5"/>
  <c r="I534" i="5"/>
  <c r="J534" i="5"/>
  <c r="L534" i="5"/>
  <c r="M534" i="5"/>
  <c r="Q534" i="5"/>
  <c r="P534" i="5" s="1"/>
  <c r="G535" i="5"/>
  <c r="P535" i="5"/>
  <c r="G536" i="5"/>
  <c r="I536" i="5"/>
  <c r="J536" i="5"/>
  <c r="L536" i="5"/>
  <c r="M536" i="5"/>
  <c r="Q536" i="5"/>
  <c r="P536" i="5" s="1"/>
  <c r="G537" i="5"/>
  <c r="P537" i="5"/>
  <c r="G538" i="5"/>
  <c r="I538" i="5"/>
  <c r="J538" i="5"/>
  <c r="L538" i="5"/>
  <c r="M538" i="5"/>
  <c r="Q538" i="5"/>
  <c r="P538" i="5" s="1"/>
  <c r="G539" i="5"/>
  <c r="P539" i="5"/>
  <c r="G540" i="5"/>
  <c r="I540" i="5"/>
  <c r="J540" i="5"/>
  <c r="L540" i="5"/>
  <c r="M540" i="5"/>
  <c r="Q540" i="5"/>
  <c r="P540" i="5" s="1"/>
  <c r="G541" i="5"/>
  <c r="P541" i="5"/>
  <c r="G542" i="5"/>
  <c r="I542" i="5"/>
  <c r="J542" i="5"/>
  <c r="L542" i="5"/>
  <c r="M542" i="5"/>
  <c r="Q542" i="5"/>
  <c r="P542" i="5" s="1"/>
  <c r="G543" i="5"/>
  <c r="P543" i="5"/>
  <c r="G544" i="5"/>
  <c r="I544" i="5"/>
  <c r="J544" i="5"/>
  <c r="L544" i="5"/>
  <c r="M544" i="5"/>
  <c r="Q544" i="5"/>
  <c r="P544" i="5" s="1"/>
  <c r="G545" i="5"/>
  <c r="P545" i="5"/>
  <c r="G546" i="5"/>
  <c r="I546" i="5"/>
  <c r="J546" i="5"/>
  <c r="L546" i="5"/>
  <c r="M546" i="5"/>
  <c r="Q546" i="5"/>
  <c r="P546" i="5" s="1"/>
  <c r="G547" i="5"/>
  <c r="P547" i="5"/>
  <c r="G548" i="5"/>
  <c r="I548" i="5"/>
  <c r="J548" i="5"/>
  <c r="L548" i="5"/>
  <c r="M548" i="5"/>
  <c r="Q548" i="5"/>
  <c r="P548" i="5" s="1"/>
  <c r="G549" i="5"/>
  <c r="P549" i="5"/>
  <c r="G550" i="5"/>
  <c r="I550" i="5"/>
  <c r="J550" i="5"/>
  <c r="L550" i="5"/>
  <c r="M550" i="5"/>
  <c r="Q550" i="5"/>
  <c r="P550" i="5" s="1"/>
  <c r="G551" i="5"/>
  <c r="P551" i="5"/>
  <c r="G552" i="5"/>
  <c r="I552" i="5"/>
  <c r="J552" i="5"/>
  <c r="L552" i="5"/>
  <c r="M552" i="5"/>
  <c r="P552" i="5"/>
  <c r="G553" i="5"/>
  <c r="P553" i="5"/>
  <c r="G554" i="5"/>
  <c r="I554" i="5"/>
  <c r="J554" i="5"/>
  <c r="L554" i="5"/>
  <c r="M554" i="5"/>
  <c r="Q554" i="5"/>
  <c r="P554" i="5" s="1"/>
  <c r="G555" i="5"/>
  <c r="P555" i="5"/>
  <c r="G556" i="5"/>
  <c r="I556" i="5"/>
  <c r="J556" i="5"/>
  <c r="L556" i="5"/>
  <c r="M556" i="5"/>
  <c r="Q556" i="5"/>
  <c r="P556" i="5" s="1"/>
  <c r="G557" i="5"/>
  <c r="P557" i="5"/>
  <c r="G558" i="5"/>
  <c r="I558" i="5"/>
  <c r="J558" i="5"/>
  <c r="L558" i="5"/>
  <c r="M558" i="5"/>
  <c r="Q558" i="5"/>
  <c r="P558" i="5" s="1"/>
  <c r="G559" i="5"/>
  <c r="P559" i="5"/>
  <c r="G560" i="5"/>
  <c r="I560" i="5"/>
  <c r="J560" i="5"/>
  <c r="L560" i="5"/>
  <c r="M560" i="5"/>
  <c r="Q560" i="5"/>
  <c r="P560" i="5" s="1"/>
  <c r="G565" i="5"/>
  <c r="G566" i="5"/>
  <c r="G567" i="5"/>
  <c r="G568" i="5"/>
  <c r="G569" i="5"/>
  <c r="G570" i="5"/>
  <c r="G571" i="5"/>
  <c r="G572" i="5"/>
  <c r="G573" i="5"/>
  <c r="D9" i="6" a="1"/>
  <c r="D13" i="6" a="1"/>
  <c r="D13" i="6" l="1"/>
  <c r="D11" i="6" s="1"/>
  <c r="D9" i="6"/>
  <c r="D10" i="6" s="1"/>
  <c r="C17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ROSSIGNON</author>
    <author>Martin Guillaume</author>
    <author>Martin PATINY</author>
  </authors>
  <commentList>
    <comment ref="J355" authorId="0" shapeId="0" xr:uid="{FE5255B3-4FD1-46C4-A5D7-91079ED40AD4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K355" authorId="0" shapeId="0" xr:uid="{0A11CF05-8F36-4A80-A8C4-CADA427CD29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L355" authorId="0" shapeId="0" xr:uid="{54EF32E5-E0CC-4264-9DAE-E3623B26BF04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M355" authorId="0" shapeId="0" xr:uid="{C4F4126F-A9E2-411C-9128-5FF7B800EEAD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Pour les élément type panneaux, le sens du fil doit être compris comme étant le sens de portée donné à l'élément, le fil/fibre du bois n'ayant plus vraiement de sens dans pour les panneaux</t>
        </r>
      </text>
    </comment>
    <comment ref="C394" authorId="0" shapeId="0" xr:uid="{A3481AEC-7FC6-4307-B9F7-84A1FA505181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Peux être considéré comme les valeurs standards/de référence en avant projet</t>
        </r>
      </text>
    </comment>
    <comment ref="R397" authorId="0" shapeId="0" xr:uid="{70E65E26-96C2-45BC-8412-4E54F69B8754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I399" authorId="0" shapeId="0" xr:uid="{0E0769D6-63C1-45C5-B714-3B4B5DEEC0C9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14 for the lay up I-III-I can be used</t>
        </r>
      </text>
    </comment>
    <comment ref="P399" authorId="0" shapeId="0" xr:uid="{C370DFEF-EAD9-4EFF-A17E-538E6C84BC7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2900 for the lay up I-III-I can be used</t>
        </r>
      </text>
    </comment>
    <comment ref="Q399" authorId="0" shapeId="0" xr:uid="{97C9FDD2-75C0-41EB-84C8-683430B228D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3300 for the lay up I-III-I can be used</t>
        </r>
      </text>
    </comment>
    <comment ref="R401" authorId="0" shapeId="0" xr:uid="{C30C3BB8-E5B7-4C17-BE01-E9E00D34462B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R405" authorId="0" shapeId="0" xr:uid="{4D18400B-92DA-422D-AE02-BEB62271FCB7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R409" authorId="0" shapeId="0" xr:uid="{B86B4BFD-FD5C-4A58-B0AB-B3A96D58E32E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A priori élevé puisque on est dans le sens du fil
De l'ordre de celui en flexion // ?
</t>
        </r>
      </text>
    </comment>
    <comment ref="I420" authorId="1" shapeId="0" xr:uid="{C9975C7F-A843-490A-8206-99722209E975}">
      <text>
        <r>
          <rPr>
            <b/>
            <sz val="9"/>
            <color indexed="81"/>
            <rFont val="Tahoma"/>
            <family val="2"/>
          </rPr>
          <t>Martin Guillaume:</t>
        </r>
        <r>
          <rPr>
            <sz val="9"/>
            <color indexed="81"/>
            <rFont val="Tahoma"/>
            <family val="2"/>
          </rPr>
          <t xml:space="preserve">
h&lt; 300 mm : 75 N/mm² 
300&lt;h&lt;1000 mm facteur kh =(300/h)^0,12 &gt;0,86</t>
        </r>
      </text>
    </comment>
    <comment ref="B446" authorId="0" shapeId="0" xr:uid="{9FFA6358-FCC2-4120-BFDF-EE25527BD539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Pas de norme européenne, il faut un agrément technique</t>
        </r>
      </text>
    </comment>
    <comment ref="B452" authorId="0" shapeId="0" xr:uid="{9CF84E51-67BC-41CE-836E-A09A9B2C64CE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Panneau constitué de placage</t>
        </r>
      </text>
    </comment>
    <comment ref="D454" authorId="0" shapeId="0" xr:uid="{4F6268A9-F675-4C98-9A2A-6C7ECF80B519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Mis égale au Kerto Q</t>
        </r>
      </text>
    </comment>
    <comment ref="D460" authorId="0" shapeId="0" xr:uid="{492A5E25-80B3-4611-B81E-1EDEBE9A3C1E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2 en milieu sec (classe de service 1)
3 en milieu humide (classe de service 2)</t>
        </r>
      </text>
    </comment>
    <comment ref="N460" authorId="2" shapeId="0" xr:uid="{60BC3807-28F2-4D49-B0AD-AB48B3141231}">
      <text>
        <r>
          <rPr>
            <b/>
            <sz val="9"/>
            <color indexed="81"/>
            <rFont val="Tahoma"/>
            <family val="2"/>
          </rPr>
          <t>Martin PATINY:</t>
        </r>
        <r>
          <rPr>
            <sz val="9"/>
            <color indexed="81"/>
            <rFont val="Tahoma"/>
            <family val="2"/>
          </rPr>
          <t xml:space="preserve">
Seule la valeur du cisaillement roulant est connue, mais à priori, on est au moins supérieur à cette valeur Pour l'OSB</t>
        </r>
      </text>
    </comment>
    <comment ref="D469" authorId="0" shapeId="0" xr:uid="{670AB0B3-85F9-4E1A-BF27-F8CBFDB236BB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2 en milieu sec (classe de service 1)
3 en milieu humide (classe de service 2)</t>
        </r>
      </text>
    </comment>
    <comment ref="D478" authorId="0" shapeId="0" xr:uid="{A0D35F91-1A7D-4D41-9225-3C2BD1A86302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Meilleur et application en zone humide possible</t>
        </r>
      </text>
    </comment>
    <comment ref="C535" authorId="0" shapeId="0" xr:uid="{0B18CAB5-4907-4AEB-8993-B5AAA692DEBB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filière sèche (cohésion obtenue par collage et pression)
Il existe d'autres panneaux de fibres, mais ils ne sont pas structurels</t>
        </r>
      </text>
    </comment>
    <comment ref="C541" authorId="0" shapeId="0" xr:uid="{A1135347-DF8E-43C0-85C1-D2711412C3FF}">
      <text>
        <r>
          <rPr>
            <b/>
            <sz val="9"/>
            <color indexed="81"/>
            <rFont val="Tahoma"/>
            <family val="2"/>
          </rPr>
          <t>Alexandre ROSSIGNON:</t>
        </r>
        <r>
          <rPr>
            <sz val="9"/>
            <color indexed="81"/>
            <rFont val="Tahoma"/>
            <family val="2"/>
          </rPr>
          <t xml:space="preserve">
filière sèche (cohésion obtenue par collage et pression)
Il existe d'autres panneaux de fibres, mais ils ne sont pas structurels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<sst xmlns="http://schemas.openxmlformats.org/spreadsheetml/2006/main" count="2130" uniqueCount="810">
  <si>
    <t>grade</t>
  </si>
  <si>
    <t>fck</t>
  </si>
  <si>
    <t>fck,cube</t>
  </si>
  <si>
    <t>fcm</t>
  </si>
  <si>
    <t>fctm</t>
  </si>
  <si>
    <t>fctk0.05</t>
  </si>
  <si>
    <t>fctk0.95</t>
  </si>
  <si>
    <t>Ecm</t>
  </si>
  <si>
    <t>ec1</t>
  </si>
  <si>
    <t>ecu1</t>
  </si>
  <si>
    <t>ec2</t>
  </si>
  <si>
    <t>ecu2</t>
  </si>
  <si>
    <t>n</t>
  </si>
  <si>
    <t>ec3</t>
  </si>
  <si>
    <t>ecu3</t>
  </si>
  <si>
    <t>C12/15</t>
  </si>
  <si>
    <t>C16/20</t>
  </si>
  <si>
    <t>C20/25</t>
  </si>
  <si>
    <t>C25/30</t>
  </si>
  <si>
    <t>C30/37</t>
  </si>
  <si>
    <t>C35/45</t>
  </si>
  <si>
    <t>C40/50</t>
  </si>
  <si>
    <t>C45/55</t>
  </si>
  <si>
    <t>C50/60</t>
  </si>
  <si>
    <t>C55/67</t>
  </si>
  <si>
    <t>C60/75</t>
  </si>
  <si>
    <t>C70/85</t>
  </si>
  <si>
    <t>C80/95</t>
  </si>
  <si>
    <t>C90/105</t>
  </si>
  <si>
    <t>S235</t>
  </si>
  <si>
    <t>S275</t>
  </si>
  <si>
    <t>S355</t>
  </si>
  <si>
    <t>S450</t>
  </si>
  <si>
    <t>S420</t>
  </si>
  <si>
    <t>S460</t>
  </si>
  <si>
    <t>S500</t>
  </si>
  <si>
    <t>S550</t>
  </si>
  <si>
    <t>S600</t>
  </si>
  <si>
    <t>S620</t>
  </si>
  <si>
    <t>S690</t>
  </si>
  <si>
    <t>System: Units Table</t>
  </si>
  <si>
    <t>Number</t>
  </si>
  <si>
    <t>Units</t>
  </si>
  <si>
    <t>0.0</t>
  </si>
  <si>
    <t>0.00</t>
  </si>
  <si>
    <t>0.000</t>
  </si>
  <si>
    <t>0.0000</t>
  </si>
  <si>
    <t>0.0E+00</t>
  </si>
  <si>
    <t>0.00E+00</t>
  </si>
  <si>
    <t>mm</t>
  </si>
  <si>
    <t>cm</t>
  </si>
  <si>
    <t>m</t>
  </si>
  <si>
    <t>mm²</t>
  </si>
  <si>
    <t>mm³</t>
  </si>
  <si>
    <t>mm⁴</t>
  </si>
  <si>
    <t>m²</t>
  </si>
  <si>
    <t>m³</t>
  </si>
  <si>
    <t>m⁴</t>
  </si>
  <si>
    <t>cm²</t>
  </si>
  <si>
    <t>cm³</t>
  </si>
  <si>
    <t>cm⁴</t>
  </si>
  <si>
    <t>N</t>
  </si>
  <si>
    <t>kN</t>
  </si>
  <si>
    <t>N/mm²</t>
  </si>
  <si>
    <t>kN/cm²</t>
  </si>
  <si>
    <t>kN/m²</t>
  </si>
  <si>
    <t>Mpa</t>
  </si>
  <si>
    <t>pa</t>
  </si>
  <si>
    <t>Gpa</t>
  </si>
  <si>
    <t>kNm</t>
  </si>
  <si>
    <t>Nm</t>
  </si>
  <si>
    <t>KNmm</t>
  </si>
  <si>
    <t>Nmm</t>
  </si>
  <si>
    <t>System: Greek replace</t>
  </si>
  <si>
    <t>α</t>
  </si>
  <si>
    <t>β</t>
  </si>
  <si>
    <t>γ</t>
  </si>
  <si>
    <t>δ</t>
  </si>
  <si>
    <t>ε</t>
  </si>
  <si>
    <t>η</t>
  </si>
  <si>
    <t>θ</t>
  </si>
  <si>
    <t>κ</t>
  </si>
  <si>
    <t>μ</t>
  </si>
  <si>
    <t>ν</t>
  </si>
  <si>
    <t>ξ</t>
  </si>
  <si>
    <t>ρ</t>
  </si>
  <si>
    <t>σ</t>
  </si>
  <si>
    <t>Σ</t>
  </si>
  <si>
    <t>τ</t>
  </si>
  <si>
    <t>υ</t>
  </si>
  <si>
    <t>ϕ</t>
  </si>
  <si>
    <t>χ</t>
  </si>
  <si>
    <t>φ</t>
  </si>
  <si>
    <t>ω</t>
  </si>
  <si>
    <t>Δ</t>
  </si>
  <si>
    <t>ζ</t>
  </si>
  <si>
    <t>λ</t>
  </si>
  <si>
    <t>\alpha</t>
  </si>
  <si>
    <t>\beta</t>
  </si>
  <si>
    <t>\gamma</t>
  </si>
  <si>
    <t>\delta</t>
  </si>
  <si>
    <t>\epsilon</t>
  </si>
  <si>
    <t>\eta</t>
  </si>
  <si>
    <t>\theta</t>
  </si>
  <si>
    <t>\kappa</t>
  </si>
  <si>
    <t>\mu</t>
  </si>
  <si>
    <t>\nu</t>
  </si>
  <si>
    <t>\xi</t>
  </si>
  <si>
    <t>\rho</t>
  </si>
  <si>
    <t>\sigma</t>
  </si>
  <si>
    <t>\Usigma</t>
  </si>
  <si>
    <t>\tau</t>
  </si>
  <si>
    <t>\upsilon</t>
  </si>
  <si>
    <t>\phi</t>
  </si>
  <si>
    <t>\chi</t>
  </si>
  <si>
    <t>\Uphi</t>
  </si>
  <si>
    <t>\omega</t>
  </si>
  <si>
    <t>\Udelta</t>
  </si>
  <si>
    <t>\zeta</t>
  </si>
  <si>
    <t>\lambda</t>
  </si>
  <si>
    <t>FunctionInfo</t>
  </si>
  <si>
    <t>beffi</t>
  </si>
  <si>
    <t>calculate effective width on one side based on Eurocode 2</t>
  </si>
  <si>
    <t>b_1</t>
  </si>
  <si>
    <t>half clear distance of nearby beam (m)</t>
  </si>
  <si>
    <t>l_0</t>
  </si>
  <si>
    <t>effective length of beam  (m)</t>
  </si>
  <si>
    <t>CL_RC_beff_GB</t>
  </si>
  <si>
    <t>calculate effective width on  based on GB50010</t>
  </si>
  <si>
    <t>b</t>
  </si>
  <si>
    <t>width of beam  (m)</t>
  </si>
  <si>
    <t>sn</t>
  </si>
  <si>
    <t>clear distance between beam  (m)</t>
  </si>
  <si>
    <t>h_f</t>
  </si>
  <si>
    <t>thickness of flange  (m)</t>
  </si>
  <si>
    <t>h_0</t>
  </si>
  <si>
    <t>effective height of beam  (m)</t>
  </si>
  <si>
    <t>CL_RC_beff</t>
  </si>
  <si>
    <t>calculate effective width on  based on EN1992</t>
  </si>
  <si>
    <t>half clear distance of side1 (m)</t>
  </si>
  <si>
    <t>b_2</t>
  </si>
  <si>
    <t>half clear distance of side 2 (m)</t>
  </si>
  <si>
    <t>b_w</t>
  </si>
  <si>
    <t>CL_CP_beff</t>
  </si>
  <si>
    <t>calculate effective width on  based on EN1994</t>
  </si>
  <si>
    <t>b_0</t>
  </si>
  <si>
    <t>distance between the centres of the outstand shear connectors</t>
  </si>
  <si>
    <t xml:space="preserve">half of distance of shear studs to nearby shear studs on adjecent beam </t>
  </si>
  <si>
    <t>half distance of shear studs to nearby shear studs on adjecent beam</t>
  </si>
  <si>
    <t>L_e</t>
  </si>
  <si>
    <t>approximate distance between points of zero bending moment</t>
  </si>
  <si>
    <t>is_Middle_Span</t>
  </si>
  <si>
    <t>0- end span     1-middle span</t>
  </si>
  <si>
    <t>CL_CP_beff_JGJ</t>
  </si>
  <si>
    <t>calculation of effective width by JGJ138-2016</t>
  </si>
  <si>
    <t>width of steel upper flange</t>
  </si>
  <si>
    <t>half clear distance of steel upper flanges of adjecent beam (taken whole distance for outside beams)</t>
  </si>
  <si>
    <t>half clear distance of steel upper flanges  of adjecent beam</t>
  </si>
  <si>
    <t>CL_CP_Le</t>
  </si>
  <si>
    <t>calculation of effective length by EN1994</t>
  </si>
  <si>
    <t>Location</t>
  </si>
  <si>
    <t>parameter for location    1: end span; 2 middle support(L2 needed); 3 middle span; 4 end support with short cantilever beam end (L2 needed)</t>
  </si>
  <si>
    <t>L1</t>
  </si>
  <si>
    <t>span length one side</t>
  </si>
  <si>
    <t>L2</t>
  </si>
  <si>
    <t>span length another side or cantilever beam end length</t>
  </si>
  <si>
    <t>CL_CP_Le_JGJ</t>
  </si>
  <si>
    <t>calculation of effective length by JGJ138-2016</t>
  </si>
  <si>
    <t xml:space="preserve">parameter for location    1: end span; 2 middle support(L2 needed); 3 middle span; </t>
  </si>
  <si>
    <t>span length end span</t>
  </si>
  <si>
    <t>span length middle span or cantilever beam end length</t>
  </si>
  <si>
    <t>CL_G_TabelInterpolation</t>
  </si>
  <si>
    <t xml:space="preserve">automatic find  value x in the first list (List 1) and calculate the coresponding value in second list (List 2)based on linear interplation </t>
  </si>
  <si>
    <t>List1</t>
  </si>
  <si>
    <t>Row of inputs</t>
  </si>
  <si>
    <t>List2</t>
  </si>
  <si>
    <t>Row of the results</t>
  </si>
  <si>
    <t>x</t>
  </si>
  <si>
    <t>values to be find</t>
  </si>
  <si>
    <t>CL_G_TabelInterpolationH</t>
  </si>
  <si>
    <t>automatic find  value x in the first list (List 1) and calculate the coresponding value in second list (List 2)based on linear interplation (horizontal table)</t>
  </si>
  <si>
    <t>CL_G_TabelInterpolationV</t>
  </si>
  <si>
    <t>automatic find  value x in the first list (List 1) and calculate the coresponding value in second list (List 2)based on linear interplation(vertical table)</t>
  </si>
  <si>
    <t>Colums of inputs</t>
  </si>
  <si>
    <t>Column of the results</t>
  </si>
  <si>
    <t>CL_G_TableFind</t>
  </si>
  <si>
    <t xml:space="preserve">Check a 2D table with headers, look up the x and y  data value location, and return the values in the table  </t>
  </si>
  <si>
    <t>Table</t>
  </si>
  <si>
    <t>the Table to be checked, the top row and left row must contain the leading information to be checked  with the input</t>
  </si>
  <si>
    <t>Row value</t>
  </si>
  <si>
    <t>the wanted Row value, checked with Top row of Table</t>
  </si>
  <si>
    <t>Column value</t>
  </si>
  <si>
    <t>the wanted Column value, checked with left column of Table</t>
  </si>
  <si>
    <t>CL_G_ArcData</t>
  </si>
  <si>
    <t>calculate the geometry properties of an Arc, from a circle of radius r and cut at location x to upper point</t>
  </si>
  <si>
    <t>r</t>
  </si>
  <si>
    <t>radius of the circle</t>
  </si>
  <si>
    <t>distance from top of circle to cut line</t>
  </si>
  <si>
    <t>info</t>
  </si>
  <si>
    <t>the infomation needed can be one of " A, z, z1  Iy Iz, Wply, Wplz, Wely, Welz, U ,U1, U2"</t>
  </si>
  <si>
    <t>CL_RC_CreepCo</t>
  </si>
  <si>
    <t>calcualte the creep coefficent in Eurocode 2 based on time T</t>
  </si>
  <si>
    <t>t</t>
  </si>
  <si>
    <t>the calculated time, 0 for infinite time</t>
  </si>
  <si>
    <t>t_0T</t>
  </si>
  <si>
    <t>initial load time considered temperate modification</t>
  </si>
  <si>
    <t>RH</t>
  </si>
  <si>
    <t>the relative moisture of environment 0 to 100</t>
  </si>
  <si>
    <t>Ac</t>
  </si>
  <si>
    <t>area of concrete in mm2</t>
  </si>
  <si>
    <t>u</t>
  </si>
  <si>
    <t>perimeter of the member in contact with the atmosphere in mm</t>
  </si>
  <si>
    <t>f_cm</t>
  </si>
  <si>
    <t>mean concrete strength in Mpa</t>
  </si>
  <si>
    <t>Cement type</t>
  </si>
  <si>
    <t>"-1 :class S ;0:class N 1 :class R"</t>
  </si>
  <si>
    <t>CL_S_ProfiledSteelData</t>
  </si>
  <si>
    <t>checking and return the information of profiled steel sections for Eurocode support types: IPE, IPN, HEA,HEB, HEC,HEM,IPE###A, IPE###AA, IPE###O</t>
  </si>
  <si>
    <t>Profile type</t>
  </si>
  <si>
    <t xml:space="preserve">the profile name to be checked, for example "IPE200" or "HEB300" or "IPE200A"… </t>
  </si>
  <si>
    <t>Parameters</t>
  </si>
  <si>
    <t>the parameter needed: 22 paramters supported: ["h,b,r,tw,tf,d,hi,A,Iy,Iz,Wely,Welz,Wply,Wplz,iy,iz,Avz,Ss,It,Iw,G"] unit based on mm and kg</t>
  </si>
  <si>
    <t>CL_S_ProfiledSteelList</t>
  </si>
  <si>
    <t>to generate a dropdown list contains all the supported profiled steel type</t>
  </si>
  <si>
    <t>Address</t>
  </si>
  <si>
    <t>the address of the cell which you want the list to be , if leave blank the current cell will used</t>
  </si>
  <si>
    <t>CL_RC_ConcreteData</t>
  </si>
  <si>
    <t>checking and return the information of concrete strength for Eurocode2 Table 3.1</t>
  </si>
  <si>
    <t>Concrete Grade</t>
  </si>
  <si>
    <t>"c12/15" to "c90/105"</t>
  </si>
  <si>
    <t>15 parameters in Table 3.1"  unit Mpa or non ["fck,fck,cube,fcm,fctm,fctk0.05,fctk0.95,Ecm,epsilon_c1,epsilon_c2,epsilon_c3,epsilon_cu1,epsilon_cu2,epsilon_cu3]</t>
  </si>
  <si>
    <t>CL_S_SteelData</t>
  </si>
  <si>
    <t>checking and return the information of concrete strength for Eurocode3 Table 3.1</t>
  </si>
  <si>
    <t>steel grade</t>
  </si>
  <si>
    <t>"S235" to "S460MH/MLH"</t>
  </si>
  <si>
    <t>thickness</t>
  </si>
  <si>
    <t>0 to 80 mm</t>
  </si>
  <si>
    <t>Parameter</t>
  </si>
  <si>
    <t>fyk fyu in Mpa</t>
  </si>
  <si>
    <t>CL_CP_ConcreteData</t>
  </si>
  <si>
    <t>checking and return the information of concrete strength for Eurocode2 Table 3.1 but to C50/60</t>
  </si>
  <si>
    <t>"c12/15" to "c50/60"</t>
  </si>
  <si>
    <t>CL_S_SteelList</t>
  </si>
  <si>
    <t>to generate a dropdown list contains all the supported  steel grade by EC3</t>
  </si>
  <si>
    <t>CL_CP_ConcreteList</t>
  </si>
  <si>
    <t>to generate a dropdown list contains all the supported concrete grade by EC4</t>
  </si>
  <si>
    <t>CL_RC_ConcreteList</t>
  </si>
  <si>
    <t>to generate a dropdown list contains all the supported concrete grade by EC2</t>
  </si>
  <si>
    <t>CL_Dr_drawRec</t>
  </si>
  <si>
    <t>to draw a Rectangle shape on a chart</t>
  </si>
  <si>
    <t>h</t>
  </si>
  <si>
    <t>the height</t>
  </si>
  <si>
    <t>the width</t>
  </si>
  <si>
    <t>[optional] x location of the center, default =0</t>
  </si>
  <si>
    <t>y</t>
  </si>
  <si>
    <t>chartname</t>
  </si>
  <si>
    <t>[optional] the chart you want to draw on, if new chart leave blank</t>
  </si>
  <si>
    <t>CL_Dr_drawProfile_Weld</t>
  </si>
  <si>
    <t>to draw a user costumized steel H or I profile</t>
  </si>
  <si>
    <t>tf</t>
  </si>
  <si>
    <t>thickness of flange</t>
  </si>
  <si>
    <t>tw</t>
  </si>
  <si>
    <t>thickness of the web</t>
  </si>
  <si>
    <t>CL_Dr_drawCircle</t>
  </si>
  <si>
    <t>to draw a circle</t>
  </si>
  <si>
    <t>the radius of circle</t>
  </si>
  <si>
    <t>divisions</t>
  </si>
  <si>
    <t>depend how smooth the circle be , default =32 parts</t>
  </si>
  <si>
    <t>[optional] the chart you want to draw on, if new chart leave blank e.g. "chart3"</t>
  </si>
  <si>
    <t>CL_Dr_updateRec</t>
  </si>
  <si>
    <t>update an exsited Rectangle</t>
  </si>
  <si>
    <t xml:space="preserve"> the chart you want to draw on e.g. "chart3"</t>
  </si>
  <si>
    <t>ID</t>
  </si>
  <si>
    <t>the ID of the shape (chart series)</t>
  </si>
  <si>
    <t>CL_Dr_updateProfile_weld</t>
  </si>
  <si>
    <t>update an exsited welded proflie</t>
  </si>
  <si>
    <t xml:space="preserve"> x location of the center,</t>
  </si>
  <si>
    <t>x location of the center</t>
  </si>
  <si>
    <t>the chart you want to draw on</t>
  </si>
  <si>
    <t>CL_Dr_updateCircle</t>
  </si>
  <si>
    <t>update an exsited circle</t>
  </si>
  <si>
    <t xml:space="preserve">depend how smooth the circle be </t>
  </si>
  <si>
    <t xml:space="preserve">x location of the center, </t>
  </si>
  <si>
    <t xml:space="preserve"> x location of the center</t>
  </si>
  <si>
    <t xml:space="preserve"> the chart you want to draw on, e.g. "chart3"</t>
  </si>
  <si>
    <t>CL_G_Table_find</t>
  </si>
  <si>
    <t xml:space="preserve">check data from a two dimenstion Table and return the value. </t>
  </si>
  <si>
    <t>Table_Range</t>
  </si>
  <si>
    <t>the range of the Table . (The first row and first column must be the index of the table)</t>
  </si>
  <si>
    <t>Column Value</t>
  </si>
  <si>
    <t>the value to be find in the column direction(horizontal)</t>
  </si>
  <si>
    <t>Row Value</t>
  </si>
  <si>
    <t>the value to be find in a row (vertical)</t>
  </si>
  <si>
    <t>CL_G_TableFunction</t>
  </si>
  <si>
    <t>to use the worksheet calculation as a function without change origional values</t>
  </si>
  <si>
    <t>parameter s</t>
  </si>
  <si>
    <t>(inputLocation1, input1, inputLocation2, input 2,..., "#" outputLocation1, output1,outputLocation2,output2...)</t>
  </si>
  <si>
    <t>CL_G_RectData</t>
  </si>
  <si>
    <t>calculate the geometry properties of a rectangle with size h*b</t>
  </si>
  <si>
    <t>height of Rectangle</t>
  </si>
  <si>
    <t>breadth of Rectangle</t>
  </si>
  <si>
    <t>the infomation needed can be one of " A,  Iy Iz, Wply, Wplz, Wely, Welz, U"</t>
  </si>
  <si>
    <t>Greek</t>
  </si>
  <si>
    <t>inputs</t>
  </si>
  <si>
    <t>G</t>
  </si>
  <si>
    <t>A</t>
  </si>
  <si>
    <t>d</t>
  </si>
  <si>
    <t>IPE750x137</t>
  </si>
  <si>
    <t>HE1000x249</t>
  </si>
  <si>
    <t>HE1000x393</t>
  </si>
  <si>
    <t>HE1000x415</t>
  </si>
  <si>
    <t>HE1000x438</t>
  </si>
  <si>
    <t>HE1000x494</t>
  </si>
  <si>
    <t>HE1000x584</t>
  </si>
  <si>
    <t>HE600x337</t>
  </si>
  <si>
    <t>HE600x399</t>
  </si>
  <si>
    <t>HE650x343</t>
  </si>
  <si>
    <t>HE650x407</t>
  </si>
  <si>
    <t>HE700x352</t>
  </si>
  <si>
    <t>HE700x418</t>
  </si>
  <si>
    <t>HE800x373</t>
  </si>
  <si>
    <t>HE800x444</t>
  </si>
  <si>
    <t>HE900x391</t>
  </si>
  <si>
    <t>HE900x466</t>
  </si>
  <si>
    <t>HEA100</t>
  </si>
  <si>
    <t>16,7</t>
  </si>
  <si>
    <t>HEA1000</t>
  </si>
  <si>
    <t>HEA120</t>
  </si>
  <si>
    <t>19,9</t>
  </si>
  <si>
    <t>HEA140</t>
  </si>
  <si>
    <t>24,7</t>
  </si>
  <si>
    <t>HEA160</t>
  </si>
  <si>
    <t>30,4</t>
  </si>
  <si>
    <t>HEA180</t>
  </si>
  <si>
    <t>35,5</t>
  </si>
  <si>
    <t>HEA200</t>
  </si>
  <si>
    <t>42,3</t>
  </si>
  <si>
    <t>HEA220</t>
  </si>
  <si>
    <t>50,5</t>
  </si>
  <si>
    <t>HEA240</t>
  </si>
  <si>
    <t>60,3</t>
  </si>
  <si>
    <t>HEA260</t>
  </si>
  <si>
    <t>68,2</t>
  </si>
  <si>
    <t>HEA280</t>
  </si>
  <si>
    <t>76,4</t>
  </si>
  <si>
    <t>HEA300</t>
  </si>
  <si>
    <t>88,3</t>
  </si>
  <si>
    <t>HEA320</t>
  </si>
  <si>
    <t>97,6</t>
  </si>
  <si>
    <t>HEA340</t>
  </si>
  <si>
    <t>HEA360</t>
  </si>
  <si>
    <t>HEA400</t>
  </si>
  <si>
    <t>HEA450</t>
  </si>
  <si>
    <t>HEA500</t>
  </si>
  <si>
    <t>HEA550</t>
  </si>
  <si>
    <t>HEA600</t>
  </si>
  <si>
    <t>HEA650</t>
  </si>
  <si>
    <t>HEA700</t>
  </si>
  <si>
    <t>HEA800</t>
  </si>
  <si>
    <t>HEA900</t>
  </si>
  <si>
    <t>HEAA100</t>
  </si>
  <si>
    <t>12,2</t>
  </si>
  <si>
    <t>HEAA1000</t>
  </si>
  <si>
    <t>HEAA120</t>
  </si>
  <si>
    <t>14,6</t>
  </si>
  <si>
    <t>HEAA140</t>
  </si>
  <si>
    <t>18,1</t>
  </si>
  <si>
    <t>HEAA160</t>
  </si>
  <si>
    <t>23,8</t>
  </si>
  <si>
    <t>HEAA180</t>
  </si>
  <si>
    <t>28,7</t>
  </si>
  <si>
    <t>HEAA200</t>
  </si>
  <si>
    <t>34,6</t>
  </si>
  <si>
    <t>HEAA220</t>
  </si>
  <si>
    <t>40,4</t>
  </si>
  <si>
    <t>HEAA240</t>
  </si>
  <si>
    <t>47,4</t>
  </si>
  <si>
    <t>HEAA260</t>
  </si>
  <si>
    <t>54,1</t>
  </si>
  <si>
    <t>HEAA280</t>
  </si>
  <si>
    <t>61,2</t>
  </si>
  <si>
    <t>HEAA300</t>
  </si>
  <si>
    <t>69,8</t>
  </si>
  <si>
    <t>HEAA320</t>
  </si>
  <si>
    <t>74,2</t>
  </si>
  <si>
    <t>HEAA340</t>
  </si>
  <si>
    <t>78,9</t>
  </si>
  <si>
    <t>HEAA360</t>
  </si>
  <si>
    <t>83,7</t>
  </si>
  <si>
    <t>HEAA400</t>
  </si>
  <si>
    <t>92,4</t>
  </si>
  <si>
    <t>HEAA450</t>
  </si>
  <si>
    <t>99,7</t>
  </si>
  <si>
    <t>HEAA500</t>
  </si>
  <si>
    <t>HEAA550</t>
  </si>
  <si>
    <t>HEAA600</t>
  </si>
  <si>
    <t>HEAA650</t>
  </si>
  <si>
    <t>HEAA700</t>
  </si>
  <si>
    <t>HEAA800</t>
  </si>
  <si>
    <t>HEAA900</t>
  </si>
  <si>
    <t>HEB100</t>
  </si>
  <si>
    <t>20,4</t>
  </si>
  <si>
    <t>HEB1000</t>
  </si>
  <si>
    <t>HEB120</t>
  </si>
  <si>
    <t>26,7</t>
  </si>
  <si>
    <t>HEB140</t>
  </si>
  <si>
    <t>33,7</t>
  </si>
  <si>
    <t>HEB160</t>
  </si>
  <si>
    <t>42,6</t>
  </si>
  <si>
    <t>HEB180</t>
  </si>
  <si>
    <t>51,2</t>
  </si>
  <si>
    <t>HEB200</t>
  </si>
  <si>
    <t>61,3</t>
  </si>
  <si>
    <t>HEB220</t>
  </si>
  <si>
    <t>71,5</t>
  </si>
  <si>
    <t>HEB240</t>
  </si>
  <si>
    <t>83,2</t>
  </si>
  <si>
    <t>HEB260</t>
  </si>
  <si>
    <t>HEB280</t>
  </si>
  <si>
    <t>HEB300</t>
  </si>
  <si>
    <t>HEB320</t>
  </si>
  <si>
    <t>HEB340</t>
  </si>
  <si>
    <t>HEB360</t>
  </si>
  <si>
    <t>HEB400</t>
  </si>
  <si>
    <t>HEB450</t>
  </si>
  <si>
    <t>HEB500</t>
  </si>
  <si>
    <t>HEB550</t>
  </si>
  <si>
    <t>HEB600</t>
  </si>
  <si>
    <t>HEB650</t>
  </si>
  <si>
    <t>HEB700</t>
  </si>
  <si>
    <t>HEB800</t>
  </si>
  <si>
    <t>HEB900</t>
  </si>
  <si>
    <t>HEC100</t>
  </si>
  <si>
    <t>HEC120</t>
  </si>
  <si>
    <t>HEC140</t>
  </si>
  <si>
    <t>HEC160</t>
  </si>
  <si>
    <t>HEC180</t>
  </si>
  <si>
    <t>HEC200</t>
  </si>
  <si>
    <t>HEC220</t>
  </si>
  <si>
    <t>HEC240</t>
  </si>
  <si>
    <t>HEC260</t>
  </si>
  <si>
    <t>HEC280</t>
  </si>
  <si>
    <t>HEC300</t>
  </si>
  <si>
    <t>HEC320</t>
  </si>
  <si>
    <t>HEM100</t>
  </si>
  <si>
    <t>41,8</t>
  </si>
  <si>
    <t>HEM1000</t>
  </si>
  <si>
    <t>HEM120</t>
  </si>
  <si>
    <t>52,1</t>
  </si>
  <si>
    <t>HEM140</t>
  </si>
  <si>
    <t>63,2</t>
  </si>
  <si>
    <t>HEM160</t>
  </si>
  <si>
    <t>76,2</t>
  </si>
  <si>
    <t>HEM180</t>
  </si>
  <si>
    <t>88,9</t>
  </si>
  <si>
    <t>HEM200</t>
  </si>
  <si>
    <t>HEM220</t>
  </si>
  <si>
    <t>HEM240</t>
  </si>
  <si>
    <t>HEM260</t>
  </si>
  <si>
    <t>HEM280</t>
  </si>
  <si>
    <t>HEM300</t>
  </si>
  <si>
    <t>HEM320</t>
  </si>
  <si>
    <t>HEM340</t>
  </si>
  <si>
    <t>HEM360</t>
  </si>
  <si>
    <t>HEM400</t>
  </si>
  <si>
    <t>HEM450</t>
  </si>
  <si>
    <t>HEM500</t>
  </si>
  <si>
    <t>HEM550</t>
  </si>
  <si>
    <t>HEM600</t>
  </si>
  <si>
    <t>HEM650</t>
  </si>
  <si>
    <t>HEM700</t>
  </si>
  <si>
    <t>HEM800</t>
  </si>
  <si>
    <t>HEM900</t>
  </si>
  <si>
    <t>IPE100</t>
  </si>
  <si>
    <t>IPE100A</t>
  </si>
  <si>
    <t>IPE100AA</t>
  </si>
  <si>
    <t>IPE120</t>
  </si>
  <si>
    <t>IPE120A</t>
  </si>
  <si>
    <t>IPE120AA</t>
  </si>
  <si>
    <t>IPE140</t>
  </si>
  <si>
    <t>IPE140A</t>
  </si>
  <si>
    <t>IPE140AA</t>
  </si>
  <si>
    <t>IPE160</t>
  </si>
  <si>
    <t>IPE160A</t>
  </si>
  <si>
    <t>IPE160AA</t>
  </si>
  <si>
    <t>IPE180</t>
  </si>
  <si>
    <t>IPE180A</t>
  </si>
  <si>
    <t>IPE180AA</t>
  </si>
  <si>
    <t>IPE180O</t>
  </si>
  <si>
    <t>IPE200</t>
  </si>
  <si>
    <t>IPE200A</t>
  </si>
  <si>
    <t>IPE200AA</t>
  </si>
  <si>
    <t>IPE200O</t>
  </si>
  <si>
    <t>IPE220</t>
  </si>
  <si>
    <t>IPE220A</t>
  </si>
  <si>
    <t>IPE220AA</t>
  </si>
  <si>
    <t>IPE220O</t>
  </si>
  <si>
    <t>IPE240</t>
  </si>
  <si>
    <t>IPE240A</t>
  </si>
  <si>
    <t>IPE240AA</t>
  </si>
  <si>
    <t>IPE240O</t>
  </si>
  <si>
    <t>IPE270</t>
  </si>
  <si>
    <t>IPE270A</t>
  </si>
  <si>
    <t>IPE270O</t>
  </si>
  <si>
    <t>IPE300</t>
  </si>
  <si>
    <t>IPE300A</t>
  </si>
  <si>
    <t>IPE300O</t>
  </si>
  <si>
    <t>IPE330</t>
  </si>
  <si>
    <t>IPE330A</t>
  </si>
  <si>
    <t>IPE330O</t>
  </si>
  <si>
    <t>IPE360</t>
  </si>
  <si>
    <t>IPE360A</t>
  </si>
  <si>
    <t>IPE360O</t>
  </si>
  <si>
    <t>IPE400</t>
  </si>
  <si>
    <t>IPE400A</t>
  </si>
  <si>
    <t>IPE400O</t>
  </si>
  <si>
    <t>IPE450</t>
  </si>
  <si>
    <t>IPE450A</t>
  </si>
  <si>
    <t>IPE450O</t>
  </si>
  <si>
    <t>IPE500</t>
  </si>
  <si>
    <t>IPE500A</t>
  </si>
  <si>
    <t>IPE500O</t>
  </si>
  <si>
    <t>IPE550</t>
  </si>
  <si>
    <t>IPE550A</t>
  </si>
  <si>
    <t>IPE550O</t>
  </si>
  <si>
    <t>IPE600</t>
  </si>
  <si>
    <t>IPE600A</t>
  </si>
  <si>
    <t>IPE600O</t>
  </si>
  <si>
    <t>IPE750x147</t>
  </si>
  <si>
    <t>IPE750x173</t>
  </si>
  <si>
    <t>IPE750x196</t>
  </si>
  <si>
    <t>IPE80</t>
  </si>
  <si>
    <t>IPE80A</t>
  </si>
  <si>
    <t>IPE80AA</t>
  </si>
  <si>
    <t>IPN100</t>
  </si>
  <si>
    <t>N.I.</t>
  </si>
  <si>
    <t>IPN120</t>
  </si>
  <si>
    <t>IPN140</t>
  </si>
  <si>
    <t>IPN160</t>
  </si>
  <si>
    <t>IPN180</t>
  </si>
  <si>
    <t>IPN200</t>
  </si>
  <si>
    <t>IPN220</t>
  </si>
  <si>
    <t>IPN240</t>
  </si>
  <si>
    <t>IPN260</t>
  </si>
  <si>
    <t>IPN280</t>
  </si>
  <si>
    <t>IPN300</t>
  </si>
  <si>
    <t>IPN320</t>
  </si>
  <si>
    <t>IPN340</t>
  </si>
  <si>
    <t>IPN360</t>
  </si>
  <si>
    <t>IPN380</t>
  </si>
  <si>
    <t>IPN400</t>
  </si>
  <si>
    <t>IPN450</t>
  </si>
  <si>
    <t>IPN500</t>
  </si>
  <si>
    <t>IPN550</t>
  </si>
  <si>
    <t>IPN600</t>
  </si>
  <si>
    <t>IPN80</t>
  </si>
  <si>
    <t>Profile</t>
  </si>
  <si>
    <t>iy2</t>
  </si>
  <si>
    <t>N.A</t>
  </si>
  <si>
    <t>CL_Tables</t>
  </si>
  <si>
    <t>This page contains the Table data for system use or Engineering datas, please do not delect the table, you can modify the data inside the tables to meet your needs.</t>
  </si>
  <si>
    <t>Steel_Profiles - European sections</t>
  </si>
  <si>
    <t>* you can add more below</t>
  </si>
  <si>
    <t>fy</t>
  </si>
  <si>
    <t>fu</t>
  </si>
  <si>
    <t>fy80</t>
  </si>
  <si>
    <t>fu80</t>
  </si>
  <si>
    <t>Concrete Table EC2</t>
  </si>
  <si>
    <t>Steel Table EC3</t>
  </si>
  <si>
    <r>
      <t>t</t>
    </r>
    <r>
      <rPr>
        <vertAlign val="subscript"/>
        <sz val="12"/>
        <color theme="0"/>
        <rFont val="Arial"/>
        <family val="2"/>
      </rPr>
      <t>w</t>
    </r>
  </si>
  <si>
    <r>
      <t>t</t>
    </r>
    <r>
      <rPr>
        <vertAlign val="subscript"/>
        <sz val="12"/>
        <color theme="0"/>
        <rFont val="Arial"/>
        <family val="2"/>
      </rPr>
      <t>f</t>
    </r>
  </si>
  <si>
    <r>
      <t>h</t>
    </r>
    <r>
      <rPr>
        <vertAlign val="subscript"/>
        <sz val="12"/>
        <color theme="0"/>
        <rFont val="Arial"/>
        <family val="2"/>
      </rPr>
      <t>i</t>
    </r>
  </si>
  <si>
    <r>
      <t>I</t>
    </r>
    <r>
      <rPr>
        <vertAlign val="subscript"/>
        <sz val="12"/>
        <color theme="0"/>
        <rFont val="Arial"/>
        <family val="2"/>
      </rPr>
      <t>y</t>
    </r>
  </si>
  <si>
    <r>
      <t>W</t>
    </r>
    <r>
      <rPr>
        <vertAlign val="subscript"/>
        <sz val="12"/>
        <color theme="0"/>
        <rFont val="Arial"/>
        <family val="2"/>
      </rPr>
      <t>ely</t>
    </r>
  </si>
  <si>
    <r>
      <t>W</t>
    </r>
    <r>
      <rPr>
        <vertAlign val="subscript"/>
        <sz val="12"/>
        <color theme="0"/>
        <rFont val="Arial"/>
        <family val="2"/>
      </rPr>
      <t>ply</t>
    </r>
  </si>
  <si>
    <r>
      <t>A</t>
    </r>
    <r>
      <rPr>
        <vertAlign val="subscript"/>
        <sz val="12"/>
        <color theme="0"/>
        <rFont val="Arial"/>
        <family val="2"/>
      </rPr>
      <t>vz</t>
    </r>
  </si>
  <si>
    <r>
      <t>I</t>
    </r>
    <r>
      <rPr>
        <vertAlign val="subscript"/>
        <sz val="12"/>
        <color theme="0"/>
        <rFont val="Arial"/>
        <family val="2"/>
      </rPr>
      <t>z</t>
    </r>
  </si>
  <si>
    <r>
      <t>W</t>
    </r>
    <r>
      <rPr>
        <vertAlign val="subscript"/>
        <sz val="12"/>
        <color theme="0"/>
        <rFont val="Arial"/>
        <family val="2"/>
      </rPr>
      <t>elz</t>
    </r>
  </si>
  <si>
    <r>
      <t>W</t>
    </r>
    <r>
      <rPr>
        <vertAlign val="subscript"/>
        <sz val="12"/>
        <color theme="0"/>
        <rFont val="Arial"/>
        <family val="2"/>
      </rPr>
      <t xml:space="preserve">plz </t>
    </r>
  </si>
  <si>
    <r>
      <t xml:space="preserve"> i</t>
    </r>
    <r>
      <rPr>
        <vertAlign val="subscript"/>
        <sz val="12"/>
        <color theme="0"/>
        <rFont val="Arial"/>
        <family val="2"/>
      </rPr>
      <t>z</t>
    </r>
  </si>
  <si>
    <r>
      <t>s</t>
    </r>
    <r>
      <rPr>
        <vertAlign val="subscript"/>
        <sz val="12"/>
        <color theme="0"/>
        <rFont val="Arial"/>
        <family val="2"/>
      </rPr>
      <t>s</t>
    </r>
  </si>
  <si>
    <r>
      <t>I</t>
    </r>
    <r>
      <rPr>
        <vertAlign val="subscript"/>
        <sz val="12"/>
        <color theme="0"/>
        <rFont val="Arial"/>
        <family val="2"/>
      </rPr>
      <t>t</t>
    </r>
  </si>
  <si>
    <r>
      <t>I</t>
    </r>
    <r>
      <rPr>
        <vertAlign val="subscript"/>
        <sz val="12"/>
        <color theme="0"/>
        <rFont val="Arial"/>
        <family val="2"/>
      </rPr>
      <t>w</t>
    </r>
  </si>
  <si>
    <t>Timber material - European Market</t>
  </si>
  <si>
    <t>Type de produit</t>
  </si>
  <si>
    <t>CUSTOM</t>
  </si>
  <si>
    <t>BOIS SCIES - EN 338 : 2016</t>
  </si>
  <si>
    <t>BOIS LAMELLE COLLE - EN 14080 : 2013</t>
  </si>
  <si>
    <t>LVL - EN 14374</t>
  </si>
  <si>
    <t>LSL</t>
  </si>
  <si>
    <r>
      <t>CONTRE-PLAQUE (Multiplex, Multipli (fr), Plywood (en)) - EN 636 : 2003</t>
    </r>
    <r>
      <rPr>
        <b/>
        <strike/>
        <sz val="10"/>
        <rFont val="Arial"/>
        <family val="2"/>
      </rPr>
      <t xml:space="preserve"> (2015)</t>
    </r>
    <r>
      <rPr>
        <b/>
        <sz val="10"/>
        <rFont val="Arial"/>
        <family val="2"/>
      </rPr>
      <t xml:space="preserve"> &amp; EN 12369-2 : ? (</t>
    </r>
    <r>
      <rPr>
        <b/>
        <strike/>
        <sz val="10"/>
        <rFont val="Arial"/>
        <family val="2"/>
      </rPr>
      <t>2011</t>
    </r>
    <r>
      <rPr>
        <b/>
        <sz val="10"/>
        <rFont val="Arial"/>
        <family val="2"/>
      </rPr>
      <t>)</t>
    </r>
  </si>
  <si>
    <r>
      <t>PANNEAUX OSB - Anisotrope- EN 300 : ? (</t>
    </r>
    <r>
      <rPr>
        <b/>
        <strike/>
        <sz val="10"/>
        <rFont val="Arial"/>
        <family val="2"/>
      </rPr>
      <t>2006</t>
    </r>
    <r>
      <rPr>
        <b/>
        <sz val="10"/>
        <rFont val="Arial"/>
        <family val="2"/>
      </rPr>
      <t xml:space="preserve">) &amp; EN 12369-1 : 2001 </t>
    </r>
    <r>
      <rPr>
        <b/>
        <strike/>
        <sz val="10"/>
        <rFont val="Arial"/>
        <family val="2"/>
      </rPr>
      <t>(2007)</t>
    </r>
  </si>
  <si>
    <r>
      <t xml:space="preserve">PANNEAUX DE PARTICULES (Aggloméré) - EN 312 ? </t>
    </r>
    <r>
      <rPr>
        <b/>
        <strike/>
        <sz val="10"/>
        <rFont val="Arial"/>
        <family val="2"/>
      </rPr>
      <t xml:space="preserve">(2010) </t>
    </r>
    <r>
      <rPr>
        <b/>
        <sz val="10"/>
        <rFont val="Arial"/>
        <family val="2"/>
      </rPr>
      <t>&amp; NBN EN 12369-1 : 2001 (</t>
    </r>
    <r>
      <rPr>
        <b/>
        <strike/>
        <sz val="10"/>
        <rFont val="Arial"/>
        <family val="2"/>
      </rPr>
      <t>2007</t>
    </r>
    <r>
      <rPr>
        <b/>
        <sz val="10"/>
        <rFont val="Arial"/>
        <family val="2"/>
      </rPr>
      <t>)</t>
    </r>
  </si>
  <si>
    <t>PANNEAUX DE FIBRES - NBN EN 12369-1</t>
  </si>
  <si>
    <t>MDF - NBN EN 12369-1</t>
  </si>
  <si>
    <t>Magnum Board</t>
  </si>
  <si>
    <t>C24-CLT</t>
  </si>
  <si>
    <t>Sous groupe 1</t>
  </si>
  <si>
    <t>RESINEUX et PEUPLIER</t>
  </si>
  <si>
    <t>FEUILLUS</t>
  </si>
  <si>
    <t>BOIS HOMOGENE</t>
  </si>
  <si>
    <t>BOIS PANACHE</t>
  </si>
  <si>
    <t>KERTO</t>
  </si>
  <si>
    <t>STEICO</t>
  </si>
  <si>
    <t>BauBuche</t>
  </si>
  <si>
    <t>LPSolidStart</t>
  </si>
  <si>
    <t>LP SolidStart</t>
  </si>
  <si>
    <t>P4</t>
  </si>
  <si>
    <t>P5</t>
  </si>
  <si>
    <t>P6</t>
  </si>
  <si>
    <t>P7</t>
  </si>
  <si>
    <t>Panneaux durs (HB.HLA2)</t>
  </si>
  <si>
    <t>Panneaux mi-durs (MBH.LA2)</t>
  </si>
  <si>
    <t>MDF.LA</t>
  </si>
  <si>
    <t>MDF.HLS</t>
  </si>
  <si>
    <t>Sous groupe 2</t>
  </si>
  <si>
    <t>S (21-90)</t>
  </si>
  <si>
    <t>Q (21-24)</t>
  </si>
  <si>
    <t>Q (27-75)</t>
  </si>
  <si>
    <t>LVL R</t>
  </si>
  <si>
    <r>
      <t>LVL X (t</t>
    </r>
    <r>
      <rPr>
        <b/>
        <sz val="10"/>
        <rFont val="Calibri"/>
        <family val="2"/>
      </rPr>
      <t>≤24mm)</t>
    </r>
  </si>
  <si>
    <r>
      <t>LVL X (</t>
    </r>
    <r>
      <rPr>
        <b/>
        <sz val="10"/>
        <rFont val="Calibri"/>
        <family val="2"/>
      </rPr>
      <t>≥</t>
    </r>
    <r>
      <rPr>
        <b/>
        <sz val="10"/>
        <rFont val="Arial"/>
        <family val="2"/>
      </rPr>
      <t>27mm)</t>
    </r>
  </si>
  <si>
    <t>Panneau S (20-80)</t>
  </si>
  <si>
    <t>Panneau Q (&lt;ou=24)</t>
  </si>
  <si>
    <t>Panneau Q (27-66)</t>
  </si>
  <si>
    <t>Poutre Baubuche GL75</t>
  </si>
  <si>
    <t>DF LVL-Q-Lite</t>
  </si>
  <si>
    <t>DF LVL-Q</t>
  </si>
  <si>
    <t>DF LVL-S-Lite</t>
  </si>
  <si>
    <t>DF LVL-S</t>
  </si>
  <si>
    <t>SP LVL-S-Lite</t>
  </si>
  <si>
    <t>SP LVL-S</t>
  </si>
  <si>
    <t>SP LVL-S-Plus</t>
  </si>
  <si>
    <t>LSL-Q Lite</t>
  </si>
  <si>
    <t>LSL-Q</t>
  </si>
  <si>
    <t>LSL-G</t>
  </si>
  <si>
    <t>Min</t>
  </si>
  <si>
    <t>Courant</t>
  </si>
  <si>
    <t>Max</t>
  </si>
  <si>
    <t>6à10</t>
  </si>
  <si>
    <t>11à18</t>
  </si>
  <si>
    <t>19à25</t>
  </si>
  <si>
    <t>6à13</t>
  </si>
  <si>
    <t>14à20</t>
  </si>
  <si>
    <t>21à25</t>
  </si>
  <si>
    <t>26à32</t>
  </si>
  <si>
    <t>33à40</t>
  </si>
  <si>
    <t>&gt;40</t>
  </si>
  <si>
    <t>25à32</t>
  </si>
  <si>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3,5</t>
    </r>
  </si>
  <si>
    <t>3,5à5,5</t>
  </si>
  <si>
    <t>&gt;5,5</t>
  </si>
  <si>
    <r>
      <rPr>
        <b/>
        <sz val="10"/>
        <rFont val="Calibri"/>
        <family val="2"/>
      </rPr>
      <t>≤</t>
    </r>
    <r>
      <rPr>
        <b/>
        <sz val="10"/>
        <rFont val="Arial"/>
        <family val="2"/>
      </rPr>
      <t>10</t>
    </r>
  </si>
  <si>
    <t>&gt;10</t>
  </si>
  <si>
    <t>1,8à12</t>
  </si>
  <si>
    <t>13à19</t>
  </si>
  <si>
    <t>20à30</t>
  </si>
  <si>
    <t>&gt;30</t>
  </si>
  <si>
    <t>SCHNEIDER</t>
  </si>
  <si>
    <t>Cross Timber Systems</t>
  </si>
  <si>
    <t>DERIX</t>
  </si>
  <si>
    <t>DECKER</t>
  </si>
  <si>
    <t>HASSLACHER</t>
  </si>
  <si>
    <t>KLH</t>
  </si>
  <si>
    <t>Holz</t>
  </si>
  <si>
    <t>Piveteaubois</t>
  </si>
  <si>
    <t>Enso</t>
  </si>
  <si>
    <t>Sous groupe 3</t>
  </si>
  <si>
    <t>Plat</t>
  </si>
  <si>
    <t>Chant</t>
  </si>
  <si>
    <t xml:space="preserve">Plat </t>
  </si>
  <si>
    <t>Sous groupe 4</t>
  </si>
  <si>
    <t>//</t>
  </si>
  <si>
    <t>┴</t>
  </si>
  <si>
    <t>classe 1</t>
  </si>
  <si>
    <t>classe 2</t>
  </si>
  <si>
    <t>Caractéristique</t>
  </si>
  <si>
    <t>Symbole</t>
  </si>
  <si>
    <t>unit</t>
  </si>
  <si>
    <t>CLT Mayr-Melnhof</t>
  </si>
  <si>
    <t>C14</t>
  </si>
  <si>
    <t>C16</t>
  </si>
  <si>
    <t>C18</t>
  </si>
  <si>
    <t>C20</t>
  </si>
  <si>
    <t>C22</t>
  </si>
  <si>
    <t>C24</t>
  </si>
  <si>
    <t>C27</t>
  </si>
  <si>
    <t>C30</t>
  </si>
  <si>
    <t>C35</t>
  </si>
  <si>
    <t>C40</t>
  </si>
  <si>
    <t>C45</t>
  </si>
  <si>
    <t>C50</t>
  </si>
  <si>
    <t>D18</t>
  </si>
  <si>
    <t>D24</t>
  </si>
  <si>
    <t>D30</t>
  </si>
  <si>
    <t>D35</t>
  </si>
  <si>
    <t>D40</t>
  </si>
  <si>
    <t>D50</t>
  </si>
  <si>
    <t>D60</t>
  </si>
  <si>
    <t>D70</t>
  </si>
  <si>
    <t>GL20h</t>
  </si>
  <si>
    <t>GL22h</t>
  </si>
  <si>
    <t>GL24h</t>
  </si>
  <si>
    <t>GL26h</t>
  </si>
  <si>
    <t>GL28h</t>
  </si>
  <si>
    <t>GL30h</t>
  </si>
  <si>
    <t>GL32h</t>
  </si>
  <si>
    <t>GL20c</t>
  </si>
  <si>
    <t>GL22c</t>
  </si>
  <si>
    <t>GL24c</t>
  </si>
  <si>
    <t>GL26c</t>
  </si>
  <si>
    <t>GL28c</t>
  </si>
  <si>
    <t>GL30c</t>
  </si>
  <si>
    <t>GL32c</t>
  </si>
  <si>
    <t>Magnum_Board_Plat //</t>
  </si>
  <si>
    <t>Magnum_Board_Plat ┴</t>
  </si>
  <si>
    <t>Magnum_Board_Chant //</t>
  </si>
  <si>
    <t>Magnum_Board_Chant ┴</t>
  </si>
  <si>
    <t>Résistance caractéristique(N/mm²)</t>
  </si>
  <si>
    <t>Résistance à la flexion</t>
  </si>
  <si>
    <r>
      <t>f</t>
    </r>
    <r>
      <rPr>
        <i/>
        <vertAlign val="subscript"/>
        <sz val="10"/>
        <rFont val="Arial"/>
        <family val="2"/>
      </rPr>
      <t>m,k</t>
    </r>
    <r>
      <rPr>
        <i/>
        <sz val="10"/>
        <rFont val="Arial"/>
        <family val="2"/>
      </rPr>
      <t>=</t>
    </r>
  </si>
  <si>
    <t>[N/mm²]</t>
  </si>
  <si>
    <t>-</t>
  </si>
  <si>
    <t>Résistance en traction dans le sens du fil</t>
  </si>
  <si>
    <r>
      <t>f</t>
    </r>
    <r>
      <rPr>
        <i/>
        <vertAlign val="subscript"/>
        <sz val="10"/>
        <rFont val="Arial"/>
        <family val="2"/>
      </rPr>
      <t>t,II,k</t>
    </r>
    <r>
      <rPr>
        <i/>
        <sz val="10"/>
        <rFont val="Arial"/>
        <family val="2"/>
      </rPr>
      <t>=</t>
    </r>
  </si>
  <si>
    <t>Résistance en traction perpendiculaire au fil</t>
  </si>
  <si>
    <r>
      <t>f</t>
    </r>
    <r>
      <rPr>
        <i/>
        <vertAlign val="subscript"/>
        <sz val="10"/>
        <rFont val="Arial"/>
        <family val="2"/>
      </rPr>
      <t>t,</t>
    </r>
    <r>
      <rPr>
        <i/>
        <vertAlign val="subscript"/>
        <sz val="10"/>
        <rFont val="Symbol"/>
        <family val="1"/>
        <charset val="2"/>
      </rPr>
      <t>^</t>
    </r>
    <r>
      <rPr>
        <i/>
        <vertAlign val="subscript"/>
        <sz val="10"/>
        <rFont val="Arial"/>
        <family val="2"/>
      </rPr>
      <t>,k</t>
    </r>
    <r>
      <rPr>
        <i/>
        <sz val="10"/>
        <rFont val="Arial"/>
        <family val="2"/>
      </rPr>
      <t>=</t>
    </r>
  </si>
  <si>
    <t>Résistance en compression dans le sens du fil</t>
  </si>
  <si>
    <r>
      <t>f</t>
    </r>
    <r>
      <rPr>
        <i/>
        <vertAlign val="subscript"/>
        <sz val="10"/>
        <rFont val="Arial"/>
        <family val="2"/>
      </rPr>
      <t>c,II,k</t>
    </r>
    <r>
      <rPr>
        <i/>
        <sz val="10"/>
        <rFont val="Arial"/>
        <family val="2"/>
      </rPr>
      <t>=</t>
    </r>
  </si>
  <si>
    <t>Résistance en compression perpendiculaire au fil</t>
  </si>
  <si>
    <r>
      <t>f</t>
    </r>
    <r>
      <rPr>
        <i/>
        <vertAlign val="subscript"/>
        <sz val="10"/>
        <rFont val="Arial"/>
        <family val="2"/>
      </rPr>
      <t>c,</t>
    </r>
    <r>
      <rPr>
        <i/>
        <vertAlign val="subscript"/>
        <sz val="10"/>
        <rFont val="Symbol"/>
        <family val="1"/>
        <charset val="2"/>
      </rPr>
      <t>^</t>
    </r>
    <r>
      <rPr>
        <i/>
        <vertAlign val="subscript"/>
        <sz val="10"/>
        <rFont val="Arial"/>
        <family val="2"/>
      </rPr>
      <t>,k</t>
    </r>
    <r>
      <rPr>
        <i/>
        <sz val="10"/>
        <rFont val="Arial"/>
        <family val="2"/>
      </rPr>
      <t>=</t>
    </r>
  </si>
  <si>
    <t>Résistance au cisaillement</t>
  </si>
  <si>
    <r>
      <t>f</t>
    </r>
    <r>
      <rPr>
        <i/>
        <vertAlign val="subscript"/>
        <sz val="10"/>
        <rFont val="Arial"/>
        <family val="2"/>
      </rPr>
      <t>v,k</t>
    </r>
    <r>
      <rPr>
        <i/>
        <sz val="10"/>
        <rFont val="Arial"/>
        <family val="2"/>
      </rPr>
      <t>=</t>
    </r>
  </si>
  <si>
    <t>Résistance au cisaillement transversal (cisaillement roulant)</t>
  </si>
  <si>
    <r>
      <t>f</t>
    </r>
    <r>
      <rPr>
        <i/>
        <vertAlign val="subscript"/>
        <sz val="10"/>
        <rFont val="Arial"/>
        <family val="2"/>
      </rPr>
      <t>R,v,k</t>
    </r>
    <r>
      <rPr>
        <i/>
        <sz val="10"/>
        <rFont val="Arial"/>
        <family val="2"/>
      </rPr>
      <t>=</t>
    </r>
  </si>
  <si>
    <t>Module caractéristique d'élasticité axial</t>
  </si>
  <si>
    <r>
      <t>E</t>
    </r>
    <r>
      <rPr>
        <i/>
        <vertAlign val="subscript"/>
        <sz val="10"/>
        <rFont val="Arial"/>
        <family val="2"/>
      </rPr>
      <t>II,0.05</t>
    </r>
    <r>
      <rPr>
        <i/>
        <sz val="10"/>
        <rFont val="Arial"/>
        <family val="2"/>
      </rPr>
      <t>=</t>
    </r>
  </si>
  <si>
    <t>[kN/mm²]</t>
  </si>
  <si>
    <t>Module moyen d'élasticité axial</t>
  </si>
  <si>
    <r>
      <t>E</t>
    </r>
    <r>
      <rPr>
        <i/>
        <vertAlign val="subscript"/>
        <sz val="10"/>
        <rFont val="Arial"/>
        <family val="2"/>
      </rPr>
      <t>II,moy</t>
    </r>
    <r>
      <rPr>
        <i/>
        <sz val="10"/>
        <rFont val="Arial"/>
        <family val="2"/>
      </rPr>
      <t>=</t>
    </r>
  </si>
  <si>
    <t>Module moyen d'élasticité transversal</t>
  </si>
  <si>
    <r>
      <t>E</t>
    </r>
    <r>
      <rPr>
        <i/>
        <vertAlign val="subscript"/>
        <sz val="10"/>
        <rFont val="Symbol"/>
        <family val="1"/>
        <charset val="2"/>
      </rPr>
      <t>^</t>
    </r>
    <r>
      <rPr>
        <i/>
        <vertAlign val="subscript"/>
        <sz val="10"/>
        <rFont val="Arial"/>
        <family val="2"/>
      </rPr>
      <t>,moy</t>
    </r>
    <r>
      <rPr>
        <i/>
        <sz val="10"/>
        <rFont val="Arial"/>
        <family val="2"/>
      </rPr>
      <t>=</t>
    </r>
  </si>
  <si>
    <t>Module moyen de cisaillement</t>
  </si>
  <si>
    <r>
      <t>G</t>
    </r>
    <r>
      <rPr>
        <i/>
        <vertAlign val="subscript"/>
        <sz val="10"/>
        <rFont val="Arial"/>
        <family val="2"/>
      </rPr>
      <t>moy</t>
    </r>
    <r>
      <rPr>
        <i/>
        <sz val="10"/>
        <rFont val="Arial"/>
        <family val="2"/>
      </rPr>
      <t>=</t>
    </r>
  </si>
  <si>
    <t>Module moyen de cisaillement roulant</t>
  </si>
  <si>
    <r>
      <t>G</t>
    </r>
    <r>
      <rPr>
        <i/>
        <vertAlign val="subscript"/>
        <sz val="10"/>
        <rFont val="Arial"/>
        <family val="2"/>
      </rPr>
      <t>R,moy</t>
    </r>
    <r>
      <rPr>
        <i/>
        <sz val="10"/>
        <rFont val="Arial"/>
        <family val="2"/>
      </rPr>
      <t>=</t>
    </r>
  </si>
  <si>
    <t>Masse volumique caractéristique</t>
  </si>
  <si>
    <r>
      <t>r</t>
    </r>
    <r>
      <rPr>
        <i/>
        <vertAlign val="subscript"/>
        <sz val="10"/>
        <rFont val="Arial"/>
        <family val="2"/>
      </rPr>
      <t>k</t>
    </r>
    <r>
      <rPr>
        <i/>
        <sz val="10"/>
        <rFont val="Arial"/>
        <family val="2"/>
      </rPr>
      <t>=</t>
    </r>
  </si>
  <si>
    <t>[kg/m³]</t>
  </si>
  <si>
    <t>Masse volumique moyenne</t>
  </si>
  <si>
    <r>
      <t>r</t>
    </r>
    <r>
      <rPr>
        <i/>
        <vertAlign val="subscript"/>
        <sz val="10"/>
        <rFont val="Arial"/>
        <family val="2"/>
      </rPr>
      <t>k,moy</t>
    </r>
    <r>
      <rPr>
        <i/>
        <sz val="10"/>
        <rFont val="Arial"/>
        <family val="2"/>
      </rPr>
      <t>=</t>
    </r>
  </si>
  <si>
    <t>Type de matériau</t>
  </si>
  <si>
    <t>REF</t>
  </si>
  <si>
    <t>fmk</t>
  </si>
  <si>
    <t>ftkT</t>
  </si>
  <si>
    <t>ftkP</t>
  </si>
  <si>
    <t>fckP</t>
  </si>
  <si>
    <t>fckT</t>
  </si>
  <si>
    <t>fvk</t>
  </si>
  <si>
    <t>fRvk</t>
  </si>
  <si>
    <t>E0.05P</t>
  </si>
  <si>
    <t>EmP</t>
  </si>
  <si>
    <t>EmT</t>
  </si>
  <si>
    <t>Gm</t>
  </si>
  <si>
    <t>GRm</t>
  </si>
  <si>
    <t>rhok</t>
  </si>
  <si>
    <t>rhokm</t>
  </si>
  <si>
    <t>type</t>
  </si>
  <si>
    <t>Column1</t>
  </si>
  <si>
    <t>Rebar dia</t>
  </si>
  <si>
    <t>kN/m</t>
  </si>
  <si>
    <t>KNm/m</t>
  </si>
  <si>
    <t>day</t>
  </si>
  <si>
    <t>°</t>
  </si>
  <si>
    <t>€</t>
  </si>
  <si>
    <t>Structral Design Table</t>
  </si>
  <si>
    <t>lx/ly</t>
  </si>
  <si>
    <t>ax</t>
  </si>
  <si>
    <t>ay</t>
  </si>
  <si>
    <t xml:space="preserve">Design Table for two way slabs </t>
  </si>
  <si>
    <t>Support types</t>
  </si>
  <si>
    <t>Simply supported four sides</t>
  </si>
  <si>
    <t>Interior Panels</t>
  </si>
  <si>
    <t>One Short Edge Continuous</t>
  </si>
  <si>
    <t>One Long Edge Discontinuous</t>
  </si>
  <si>
    <t>Two Adjacent Edges Discontinuous</t>
  </si>
  <si>
    <t>Two Short Edges Discontinuous</t>
  </si>
  <si>
    <t>Two Long Edges Discontinuous</t>
  </si>
  <si>
    <t>Three Edges (One long Edge) Discontinuous</t>
  </si>
  <si>
    <t>Three Edges (One short Edge) Discontinuous</t>
  </si>
  <si>
    <t>Four Edge Discontinuous</t>
  </si>
  <si>
    <t>ax0</t>
  </si>
  <si>
    <t>ax: Positive moment at mid-span (short span)</t>
  </si>
  <si>
    <t>ay Positve moment at mid-span (long span)</t>
  </si>
  <si>
    <t>ay0</t>
  </si>
  <si>
    <t xml:space="preserve">ax0: </t>
  </si>
  <si>
    <r>
      <t xml:space="preserve">Negative moment at continuous </t>
    </r>
    <r>
      <rPr>
        <sz val="8"/>
        <color rgb="FF000000"/>
        <rFont val="Calibri"/>
        <family val="2"/>
        <scheme val="minor"/>
      </rPr>
      <t>edge</t>
    </r>
  </si>
  <si>
    <t>Positive moment at mid-span (short span)</t>
  </si>
  <si>
    <t>Positve moment at mid-span (long span)</t>
  </si>
  <si>
    <t>Negative moment at continuous edge (short span)</t>
  </si>
  <si>
    <t>Negative moment at continuous edge (long span)</t>
  </si>
  <si>
    <t>Res type</t>
  </si>
  <si>
    <t>EN1992-1-1 7.16</t>
  </si>
  <si>
    <t>l/d</t>
  </si>
  <si>
    <t>K</t>
  </si>
  <si>
    <t>Concrete</t>
  </si>
  <si>
    <r>
      <t>f</t>
    </r>
    <r>
      <rPr>
        <vertAlign val="subscript"/>
        <sz val="11"/>
        <color theme="1"/>
        <rFont val="Calibri"/>
        <family val="2"/>
        <scheme val="minor"/>
      </rPr>
      <t>ck</t>
    </r>
  </si>
  <si>
    <r>
      <t>ρ</t>
    </r>
    <r>
      <rPr>
        <vertAlign val="subscript"/>
        <sz val="11"/>
        <color theme="1"/>
        <rFont val="Calibri"/>
        <family val="2"/>
        <scheme val="minor"/>
      </rPr>
      <t>0</t>
    </r>
  </si>
  <si>
    <t>rebar area</t>
  </si>
  <si>
    <r>
      <t>ρ</t>
    </r>
    <r>
      <rPr>
        <sz val="11"/>
        <color theme="1"/>
        <rFont val="Calibri"/>
        <family val="2"/>
        <scheme val="minor"/>
      </rPr>
      <t>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</si>
</sst>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&quot;Mpa&quot;"/>
    <numFmt numFmtId="165" formatCode="0.0"/>
    <numFmt numFmtId="166" formatCode="0.000"/>
    <numFmt numFmtId="167" formatCode="0&quot; Mpa&quot;&quot;&quot;"/>
    <numFmt numFmtId="168" formatCode="0&quot; mm²&quot;&quot;&quot;"/>
    <numFmt numFmtId="169" formatCode="0&quot; mm&quot;&quot;&quot;"/>
  </numFmts>
  <fonts count="4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24292E"/>
      <name val="Segoe UI"/>
      <family val="2"/>
    </font>
    <font>
      <sz val="11"/>
      <color rgb="FF000000"/>
      <name val="Calibri"/>
      <family val="2"/>
      <scheme val="minor"/>
    </font>
    <font>
      <sz val="8"/>
      <color theme="0"/>
      <name val="Arial"/>
      <family val="2"/>
    </font>
    <font>
      <vertAlign val="subscript"/>
      <sz val="12"/>
      <color theme="0"/>
      <name val="Arial"/>
      <family val="2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trike/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Calibri"/>
      <family val="2"/>
    </font>
    <font>
      <b/>
      <sz val="10"/>
      <color theme="0" tint="-0.249977111117893"/>
      <name val="Arial"/>
      <family val="2"/>
    </font>
    <font>
      <b/>
      <sz val="10"/>
      <color theme="0" tint="-0.34998626667073579"/>
      <name val="Arial"/>
      <family val="2"/>
    </font>
    <font>
      <b/>
      <sz val="8"/>
      <name val="Arial"/>
      <family val="2"/>
    </font>
    <font>
      <b/>
      <sz val="8"/>
      <color theme="0" tint="-0.249977111117893"/>
      <name val="Arial"/>
      <family val="2"/>
    </font>
    <font>
      <b/>
      <sz val="8"/>
      <color theme="0" tint="-0.34998626667073579"/>
      <name val="Arial"/>
      <family val="2"/>
    </font>
    <font>
      <i/>
      <u/>
      <sz val="10"/>
      <name val="Arial"/>
      <family val="2"/>
    </font>
    <font>
      <b/>
      <i/>
      <sz val="10"/>
      <name val="Arial"/>
      <family val="2"/>
    </font>
    <font>
      <i/>
      <vertAlign val="subscript"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sz val="10"/>
      <color theme="0" tint="-0.249977111117893"/>
      <name val="Arial"/>
      <family val="2"/>
    </font>
    <font>
      <sz val="10"/>
      <color theme="0" tint="-0.34998626667073579"/>
      <name val="Arial"/>
      <family val="2"/>
    </font>
    <font>
      <sz val="10"/>
      <color theme="9" tint="0.39997558519241921"/>
      <name val="Arial"/>
      <family val="2"/>
    </font>
    <font>
      <sz val="10"/>
      <color rgb="FF0000FF"/>
      <name val="Arial"/>
      <family val="2"/>
    </font>
    <font>
      <i/>
      <vertAlign val="subscript"/>
      <sz val="10"/>
      <name val="Symbol"/>
      <family val="1"/>
      <charset val="2"/>
    </font>
    <font>
      <sz val="10"/>
      <color rgb="FF0070C0"/>
      <name val="Arial"/>
      <family val="2"/>
    </font>
    <font>
      <b/>
      <sz val="10"/>
      <color rgb="FF0000FF"/>
      <name val="Arial"/>
      <family val="2"/>
    </font>
    <font>
      <b/>
      <sz val="10"/>
      <color theme="9" tint="0.39997558519241921"/>
      <name val="Arial"/>
      <family val="2"/>
    </font>
    <font>
      <b/>
      <i/>
      <sz val="10"/>
      <name val="Symbol"/>
      <family val="1"/>
      <charset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1" fillId="0" borderId="0"/>
    <xf numFmtId="9" fontId="11" fillId="0" borderId="0" applyFont="0" applyFill="0" applyBorder="0" applyAlignment="0" applyProtection="0"/>
    <xf numFmtId="0" fontId="13" fillId="0" borderId="0"/>
    <xf numFmtId="9" fontId="46" fillId="0" borderId="0" applyFont="0" applyFill="0" applyBorder="0" applyAlignment="0" applyProtection="0"/>
  </cellStyleXfs>
  <cellXfs count="195">
    <xf numFmtId="0" fontId="0" fillId="0" borderId="0" xfId="0"/>
    <xf numFmtId="0" fontId="0" fillId="0" borderId="2" xfId="0" applyBorder="1"/>
    <xf numFmtId="164" fontId="0" fillId="0" borderId="2" xfId="0" applyNumberFormat="1" applyBorder="1"/>
    <xf numFmtId="164" fontId="0" fillId="0" borderId="1" xfId="0" applyNumberFormat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2" borderId="2" xfId="0" applyFont="1" applyFill="1" applyBorder="1"/>
    <xf numFmtId="0" fontId="1" fillId="2" borderId="2" xfId="0" applyNumberFormat="1" applyFont="1" applyFill="1" applyBorder="1"/>
    <xf numFmtId="0" fontId="0" fillId="3" borderId="0" xfId="0" applyFill="1"/>
    <xf numFmtId="0" fontId="2" fillId="0" borderId="7" xfId="0" applyFont="1" applyBorder="1"/>
    <xf numFmtId="11" fontId="0" fillId="0" borderId="5" xfId="0" applyNumberFormat="1" applyBorder="1"/>
    <xf numFmtId="0" fontId="7" fillId="0" borderId="0" xfId="0" applyNumberFormat="1" applyFont="1" applyFill="1" applyBorder="1" applyAlignment="1">
      <alignment horizontal="left"/>
    </xf>
    <xf numFmtId="0" fontId="7" fillId="0" borderId="8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7" fillId="0" borderId="9" xfId="0" applyNumberFormat="1" applyFont="1" applyFill="1" applyBorder="1" applyAlignment="1">
      <alignment horizontal="center"/>
    </xf>
    <xf numFmtId="0" fontId="7" fillId="0" borderId="10" xfId="0" applyNumberFormat="1" applyFont="1" applyFill="1" applyBorder="1" applyAlignment="1">
      <alignment horizontal="center"/>
    </xf>
    <xf numFmtId="0" fontId="3" fillId="0" borderId="0" xfId="0" applyFont="1"/>
    <xf numFmtId="0" fontId="5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wrapText="1"/>
    </xf>
    <xf numFmtId="0" fontId="5" fillId="4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11" xfId="0" applyNumberFormat="1" applyFont="1" applyFill="1" applyBorder="1" applyAlignment="1">
      <alignment horizontal="left"/>
    </xf>
    <xf numFmtId="165" fontId="9" fillId="0" borderId="12" xfId="0" applyNumberFormat="1" applyFont="1" applyFill="1" applyBorder="1" applyAlignment="1">
      <alignment horizontal="center"/>
    </xf>
    <xf numFmtId="1" fontId="9" fillId="0" borderId="11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65" fontId="9" fillId="0" borderId="11" xfId="0" applyNumberFormat="1" applyFont="1" applyFill="1" applyBorder="1" applyAlignment="1">
      <alignment horizontal="center"/>
    </xf>
    <xf numFmtId="165" fontId="9" fillId="0" borderId="13" xfId="0" applyNumberFormat="1" applyFont="1" applyFill="1" applyBorder="1" applyAlignment="1">
      <alignment horizontal="center"/>
    </xf>
    <xf numFmtId="0" fontId="10" fillId="0" borderId="0" xfId="0" applyFont="1"/>
    <xf numFmtId="11" fontId="10" fillId="0" borderId="0" xfId="0" applyNumberFormat="1" applyFont="1"/>
    <xf numFmtId="0" fontId="9" fillId="0" borderId="12" xfId="0" applyNumberFormat="1" applyFont="1" applyFill="1" applyBorder="1" applyAlignment="1">
      <alignment horizontal="center"/>
    </xf>
    <xf numFmtId="0" fontId="9" fillId="0" borderId="11" xfId="0" applyNumberFormat="1" applyFont="1" applyFill="1" applyBorder="1" applyAlignment="1">
      <alignment horizontal="center"/>
    </xf>
    <xf numFmtId="165" fontId="9" fillId="6" borderId="11" xfId="0" applyNumberFormat="1" applyFont="1" applyFill="1" applyBorder="1" applyAlignment="1">
      <alignment horizontal="center"/>
    </xf>
    <xf numFmtId="0" fontId="9" fillId="0" borderId="14" xfId="0" applyNumberFormat="1" applyFont="1" applyFill="1" applyBorder="1" applyAlignment="1">
      <alignment horizontal="left"/>
    </xf>
    <xf numFmtId="0" fontId="9" fillId="0" borderId="15" xfId="0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165" fontId="9" fillId="0" borderId="16" xfId="0" applyNumberFormat="1" applyFont="1" applyFill="1" applyBorder="1" applyAlignment="1">
      <alignment horizontal="center"/>
    </xf>
    <xf numFmtId="165" fontId="9" fillId="0" borderId="14" xfId="0" applyNumberFormat="1" applyFont="1" applyFill="1" applyBorder="1" applyAlignment="1">
      <alignment horizontal="center"/>
    </xf>
    <xf numFmtId="0" fontId="9" fillId="0" borderId="15" xfId="0" applyNumberFormat="1" applyFont="1" applyFill="1" applyBorder="1" applyAlignment="1">
      <alignment horizontal="center"/>
    </xf>
    <xf numFmtId="0" fontId="9" fillId="0" borderId="16" xfId="0" applyNumberFormat="1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65" fontId="9" fillId="0" borderId="17" xfId="0" applyNumberFormat="1" applyFont="1" applyFill="1" applyBorder="1" applyAlignment="1">
      <alignment horizontal="center"/>
    </xf>
    <xf numFmtId="0" fontId="9" fillId="0" borderId="14" xfId="0" applyNumberFormat="1" applyFont="1" applyFill="1" applyBorder="1" applyAlignment="1">
      <alignment horizontal="center"/>
    </xf>
    <xf numFmtId="0" fontId="9" fillId="0" borderId="17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/>
    </xf>
    <xf numFmtId="165" fontId="9" fillId="6" borderId="17" xfId="0" applyNumberFormat="1" applyFont="1" applyFill="1" applyBorder="1" applyAlignment="1">
      <alignment horizontal="center"/>
    </xf>
    <xf numFmtId="0" fontId="9" fillId="0" borderId="13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left"/>
    </xf>
    <xf numFmtId="0" fontId="9" fillId="0" borderId="12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2" fontId="9" fillId="0" borderId="11" xfId="0" applyNumberFormat="1" applyFont="1" applyFill="1" applyBorder="1" applyAlignment="1">
      <alignment horizontal="center"/>
    </xf>
    <xf numFmtId="1" fontId="9" fillId="0" borderId="12" xfId="0" applyNumberFormat="1" applyFont="1" applyFill="1" applyBorder="1" applyAlignment="1">
      <alignment horizontal="center"/>
    </xf>
    <xf numFmtId="0" fontId="9" fillId="0" borderId="18" xfId="0" applyNumberFormat="1" applyFont="1" applyFill="1" applyBorder="1" applyAlignment="1">
      <alignment horizontal="center"/>
    </xf>
    <xf numFmtId="165" fontId="9" fillId="6" borderId="15" xfId="0" applyNumberFormat="1" applyFont="1" applyFill="1" applyBorder="1" applyAlignment="1">
      <alignment horizontal="center"/>
    </xf>
    <xf numFmtId="165" fontId="9" fillId="6" borderId="19" xfId="0" applyNumberFormat="1" applyFont="1" applyFill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165" fontId="9" fillId="0" borderId="18" xfId="0" applyNumberFormat="1" applyFont="1" applyFill="1" applyBorder="1" applyAlignment="1">
      <alignment horizontal="center"/>
    </xf>
    <xf numFmtId="2" fontId="9" fillId="0" borderId="19" xfId="0" applyNumberFormat="1" applyFont="1" applyFill="1" applyBorder="1" applyAlignment="1">
      <alignment horizontal="center"/>
    </xf>
    <xf numFmtId="1" fontId="9" fillId="0" borderId="18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left"/>
    </xf>
    <xf numFmtId="0" fontId="9" fillId="0" borderId="13" xfId="0" applyFont="1" applyFill="1" applyBorder="1" applyAlignment="1">
      <alignment horizontal="center"/>
    </xf>
    <xf numFmtId="2" fontId="9" fillId="0" borderId="12" xfId="0" applyNumberFormat="1" applyFont="1" applyFill="1" applyBorder="1" applyAlignment="1">
      <alignment horizontal="center"/>
    </xf>
    <xf numFmtId="0" fontId="10" fillId="0" borderId="11" xfId="0" applyFont="1" applyBorder="1"/>
    <xf numFmtId="0" fontId="9" fillId="0" borderId="11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15" fillId="9" borderId="1" xfId="3" applyFont="1" applyFill="1" applyBorder="1" applyAlignment="1">
      <alignment horizontal="left" vertical="center" wrapText="1"/>
    </xf>
    <xf numFmtId="0" fontId="15" fillId="9" borderId="1" xfId="3" applyFont="1" applyFill="1" applyBorder="1" applyAlignment="1">
      <alignment horizontal="center" vertical="center" wrapText="1"/>
    </xf>
    <xf numFmtId="0" fontId="15" fillId="7" borderId="1" xfId="3" applyFont="1" applyFill="1" applyBorder="1" applyAlignment="1">
      <alignment horizontal="left" vertical="center" wrapText="1"/>
    </xf>
    <xf numFmtId="0" fontId="15" fillId="8" borderId="1" xfId="3" applyFont="1" applyFill="1" applyBorder="1" applyAlignment="1">
      <alignment horizontal="left" vertical="center" wrapText="1"/>
    </xf>
    <xf numFmtId="0" fontId="15" fillId="10" borderId="1" xfId="3" applyFont="1" applyFill="1" applyBorder="1" applyAlignment="1">
      <alignment horizontal="left" vertical="center" wrapText="1"/>
    </xf>
    <xf numFmtId="0" fontId="15" fillId="11" borderId="1" xfId="3" applyFont="1" applyFill="1" applyBorder="1" applyAlignment="1">
      <alignment horizontal="left" vertical="center" wrapText="1"/>
    </xf>
    <xf numFmtId="0" fontId="15" fillId="0" borderId="1" xfId="3" applyFont="1" applyBorder="1" applyAlignment="1">
      <alignment horizontal="left" vertical="center" wrapText="1"/>
    </xf>
    <xf numFmtId="0" fontId="13" fillId="0" borderId="1" xfId="3" applyBorder="1" applyAlignment="1">
      <alignment horizontal="right" vertical="center" wrapText="1"/>
    </xf>
    <xf numFmtId="0" fontId="14" fillId="7" borderId="1" xfId="3" applyFont="1" applyFill="1" applyBorder="1" applyAlignment="1">
      <alignment horizontal="left" vertical="center" wrapText="1"/>
    </xf>
    <xf numFmtId="0" fontId="25" fillId="6" borderId="1" xfId="1" applyFont="1" applyFill="1" applyBorder="1" applyAlignment="1">
      <alignment horizontal="left" vertical="center" wrapText="1"/>
    </xf>
    <xf numFmtId="0" fontId="11" fillId="6" borderId="1" xfId="1" applyFill="1" applyBorder="1" applyAlignment="1">
      <alignment horizontal="left" vertical="center" wrapText="1"/>
    </xf>
    <xf numFmtId="0" fontId="11" fillId="0" borderId="1" xfId="3" applyFont="1" applyBorder="1" applyAlignment="1">
      <alignment horizontal="left" vertical="center" wrapText="1"/>
    </xf>
    <xf numFmtId="0" fontId="13" fillId="0" borderId="1" xfId="3" applyBorder="1" applyAlignment="1">
      <alignment horizontal="left" vertical="center" wrapText="1"/>
    </xf>
    <xf numFmtId="0" fontId="26" fillId="12" borderId="1" xfId="1" applyFont="1" applyFill="1" applyBorder="1" applyAlignment="1">
      <alignment horizontal="left" vertical="center" wrapText="1"/>
    </xf>
    <xf numFmtId="0" fontId="38" fillId="12" borderId="1" xfId="1" applyFont="1" applyFill="1" applyBorder="1" applyAlignment="1">
      <alignment horizontal="left" vertical="center" wrapText="1"/>
    </xf>
    <xf numFmtId="0" fontId="16" fillId="7" borderId="1" xfId="3" applyFont="1" applyFill="1" applyBorder="1" applyAlignment="1">
      <alignment horizontal="left" vertical="center" wrapText="1"/>
    </xf>
    <xf numFmtId="0" fontId="18" fillId="8" borderId="1" xfId="3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left" vertical="center" wrapText="1"/>
    </xf>
    <xf numFmtId="0" fontId="18" fillId="10" borderId="1" xfId="3" applyFont="1" applyFill="1" applyBorder="1" applyAlignment="1">
      <alignment horizontal="left" vertical="center" wrapText="1"/>
    </xf>
    <xf numFmtId="0" fontId="18" fillId="11" borderId="1" xfId="3" applyFont="1" applyFill="1" applyBorder="1" applyAlignment="1">
      <alignment horizontal="center" vertical="center" wrapText="1"/>
    </xf>
    <xf numFmtId="0" fontId="18" fillId="0" borderId="1" xfId="3" applyFont="1" applyBorder="1" applyAlignment="1">
      <alignment horizontal="left" vertical="center" wrapText="1"/>
    </xf>
    <xf numFmtId="165" fontId="29" fillId="0" borderId="1" xfId="3" applyNumberFormat="1" applyFont="1" applyBorder="1" applyAlignment="1">
      <alignment horizontal="center" vertical="center" wrapText="1"/>
    </xf>
    <xf numFmtId="2" fontId="29" fillId="0" borderId="1" xfId="3" applyNumberFormat="1" applyFont="1" applyBorder="1" applyAlignment="1">
      <alignment horizontal="center" vertical="center" wrapText="1"/>
    </xf>
    <xf numFmtId="166" fontId="29" fillId="0" borderId="1" xfId="3" applyNumberFormat="1" applyFont="1" applyBorder="1" applyAlignment="1">
      <alignment horizontal="center" vertical="center" wrapText="1"/>
    </xf>
    <xf numFmtId="1" fontId="29" fillId="0" borderId="1" xfId="3" applyNumberFormat="1" applyFont="1" applyBorder="1" applyAlignment="1">
      <alignment horizontal="center" vertical="center" wrapText="1"/>
    </xf>
    <xf numFmtId="0" fontId="15" fillId="11" borderId="1" xfId="3" applyFont="1" applyFill="1" applyBorder="1" applyAlignment="1">
      <alignment horizontal="center" vertical="center" wrapText="1"/>
    </xf>
    <xf numFmtId="165" fontId="13" fillId="0" borderId="1" xfId="3" applyNumberFormat="1" applyBorder="1" applyAlignment="1">
      <alignment horizontal="center" vertical="center" wrapText="1"/>
    </xf>
    <xf numFmtId="0" fontId="13" fillId="0" borderId="1" xfId="3" applyBorder="1" applyAlignment="1">
      <alignment horizontal="center" vertical="center" wrapText="1"/>
    </xf>
    <xf numFmtId="2" fontId="13" fillId="0" borderId="1" xfId="3" applyNumberFormat="1" applyBorder="1" applyAlignment="1">
      <alignment horizontal="center" vertical="center" wrapText="1"/>
    </xf>
    <xf numFmtId="166" fontId="13" fillId="0" borderId="1" xfId="3" applyNumberFormat="1" applyBorder="1" applyAlignment="1">
      <alignment horizontal="center" vertical="center" wrapText="1"/>
    </xf>
    <xf numFmtId="1" fontId="13" fillId="0" borderId="1" xfId="3" applyNumberFormat="1" applyBorder="1" applyAlignment="1">
      <alignment horizontal="center" vertical="center" wrapText="1"/>
    </xf>
    <xf numFmtId="1" fontId="11" fillId="0" borderId="1" xfId="3" applyNumberFormat="1" applyFont="1" applyBorder="1" applyAlignment="1">
      <alignment horizontal="center" vertical="center" wrapText="1"/>
    </xf>
    <xf numFmtId="165" fontId="11" fillId="0" borderId="1" xfId="3" applyNumberFormat="1" applyFont="1" applyBorder="1" applyAlignment="1">
      <alignment horizontal="center" vertical="center" wrapText="1"/>
    </xf>
    <xf numFmtId="2" fontId="15" fillId="0" borderId="1" xfId="3" quotePrefix="1" applyNumberFormat="1" applyFont="1" applyBorder="1" applyAlignment="1">
      <alignment horizontal="center" vertical="center" wrapText="1"/>
    </xf>
    <xf numFmtId="166" fontId="11" fillId="0" borderId="1" xfId="3" applyNumberFormat="1" applyFont="1" applyBorder="1" applyAlignment="1">
      <alignment horizontal="center" vertical="center" wrapText="1"/>
    </xf>
    <xf numFmtId="0" fontId="20" fillId="10" borderId="1" xfId="3" applyFont="1" applyFill="1" applyBorder="1" applyAlignment="1">
      <alignment horizontal="left" vertical="center" wrapText="1"/>
    </xf>
    <xf numFmtId="0" fontId="20" fillId="11" borderId="1" xfId="3" applyFont="1" applyFill="1" applyBorder="1" applyAlignment="1">
      <alignment horizontal="center" vertical="center" wrapText="1"/>
    </xf>
    <xf numFmtId="0" fontId="20" fillId="0" borderId="1" xfId="3" applyFont="1" applyBorder="1" applyAlignment="1">
      <alignment horizontal="left" vertical="center" wrapText="1"/>
    </xf>
    <xf numFmtId="165" fontId="30" fillId="0" borderId="1" xfId="3" applyNumberFormat="1" applyFont="1" applyBorder="1" applyAlignment="1">
      <alignment horizontal="center" vertical="center" wrapText="1"/>
    </xf>
    <xf numFmtId="2" fontId="30" fillId="0" borderId="1" xfId="3" applyNumberFormat="1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center" vertical="center" wrapText="1"/>
    </xf>
    <xf numFmtId="166" fontId="30" fillId="0" borderId="1" xfId="3" applyNumberFormat="1" applyFont="1" applyBorder="1" applyAlignment="1">
      <alignment horizontal="center" vertical="center" wrapText="1"/>
    </xf>
    <xf numFmtId="1" fontId="30" fillId="0" borderId="1" xfId="3" applyNumberFormat="1" applyFont="1" applyBorder="1" applyAlignment="1">
      <alignment horizontal="center" vertical="center" wrapText="1"/>
    </xf>
    <xf numFmtId="165" fontId="33" fillId="0" borderId="1" xfId="3" applyNumberFormat="1" applyFont="1" applyBorder="1" applyAlignment="1">
      <alignment horizontal="center" vertical="center" wrapText="1"/>
    </xf>
    <xf numFmtId="2" fontId="33" fillId="0" borderId="1" xfId="3" applyNumberFormat="1" applyFont="1" applyBorder="1" applyAlignment="1">
      <alignment horizontal="center" vertical="center" wrapText="1"/>
    </xf>
    <xf numFmtId="2" fontId="15" fillId="0" borderId="1" xfId="3" applyNumberFormat="1" applyFont="1" applyBorder="1" applyAlignment="1">
      <alignment horizontal="center" vertical="center" wrapText="1"/>
    </xf>
    <xf numFmtId="2" fontId="36" fillId="0" borderId="1" xfId="3" applyNumberFormat="1" applyFont="1" applyBorder="1" applyAlignment="1">
      <alignment horizontal="center" vertical="center" wrapText="1"/>
    </xf>
    <xf numFmtId="2" fontId="11" fillId="0" borderId="1" xfId="3" applyNumberFormat="1" applyFont="1" applyBorder="1" applyAlignment="1">
      <alignment horizontal="center" vertical="center" wrapText="1"/>
    </xf>
    <xf numFmtId="0" fontId="21" fillId="11" borderId="1" xfId="3" applyFont="1" applyFill="1" applyBorder="1" applyAlignment="1">
      <alignment horizontal="center" vertical="center" wrapText="1"/>
    </xf>
    <xf numFmtId="0" fontId="21" fillId="0" borderId="1" xfId="3" applyFont="1" applyBorder="1" applyAlignment="1">
      <alignment horizontal="left" vertical="center" wrapText="1"/>
    </xf>
    <xf numFmtId="165" fontId="31" fillId="0" borderId="1" xfId="3" applyNumberFormat="1" applyFont="1" applyBorder="1" applyAlignment="1">
      <alignment horizontal="center" vertical="center" wrapText="1"/>
    </xf>
    <xf numFmtId="2" fontId="31" fillId="0" borderId="1" xfId="3" applyNumberFormat="1" applyFont="1" applyBorder="1" applyAlignment="1">
      <alignment horizontal="center" vertical="center" wrapText="1"/>
    </xf>
    <xf numFmtId="2" fontId="21" fillId="0" borderId="1" xfId="3" applyNumberFormat="1" applyFont="1" applyBorder="1" applyAlignment="1">
      <alignment horizontal="center" vertical="center" wrapText="1"/>
    </xf>
    <xf numFmtId="166" fontId="31" fillId="0" borderId="1" xfId="3" applyNumberFormat="1" applyFont="1" applyBorder="1" applyAlignment="1">
      <alignment horizontal="center" vertical="center" wrapText="1"/>
    </xf>
    <xf numFmtId="1" fontId="31" fillId="0" borderId="1" xfId="3" applyNumberFormat="1" applyFont="1" applyBorder="1" applyAlignment="1">
      <alignment horizontal="center" vertical="center" wrapText="1"/>
    </xf>
    <xf numFmtId="1" fontId="33" fillId="0" borderId="1" xfId="3" applyNumberFormat="1" applyFont="1" applyBorder="1" applyAlignment="1">
      <alignment horizontal="center" vertical="center" wrapText="1"/>
    </xf>
    <xf numFmtId="0" fontId="15" fillId="7" borderId="1" xfId="3" applyFont="1" applyFill="1" applyBorder="1" applyAlignment="1">
      <alignment horizontal="center" vertical="center" wrapText="1"/>
    </xf>
    <xf numFmtId="165" fontId="32" fillId="0" borderId="1" xfId="3" applyNumberFormat="1" applyFont="1" applyBorder="1" applyAlignment="1">
      <alignment horizontal="center" vertical="center" wrapText="1"/>
    </xf>
    <xf numFmtId="2" fontId="32" fillId="0" borderId="1" xfId="3" applyNumberFormat="1" applyFont="1" applyBorder="1" applyAlignment="1">
      <alignment horizontal="center" vertical="center" wrapText="1"/>
    </xf>
    <xf numFmtId="2" fontId="37" fillId="0" borderId="1" xfId="3" applyNumberFormat="1" applyFont="1" applyBorder="1" applyAlignment="1">
      <alignment horizontal="center" vertical="center" wrapText="1"/>
    </xf>
    <xf numFmtId="166" fontId="32" fillId="0" borderId="1" xfId="3" applyNumberFormat="1" applyFont="1" applyBorder="1" applyAlignment="1">
      <alignment horizontal="center" vertical="center" wrapText="1"/>
    </xf>
    <xf numFmtId="1" fontId="32" fillId="0" borderId="1" xfId="3" applyNumberFormat="1" applyFont="1" applyBorder="1" applyAlignment="1">
      <alignment horizontal="center" vertical="center" wrapText="1"/>
    </xf>
    <xf numFmtId="2" fontId="18" fillId="0" borderId="1" xfId="3" applyNumberFormat="1" applyFont="1" applyBorder="1" applyAlignment="1">
      <alignment horizontal="center" vertical="center" wrapText="1"/>
    </xf>
    <xf numFmtId="165" fontId="11" fillId="13" borderId="1" xfId="3" applyNumberFormat="1" applyFont="1" applyFill="1" applyBorder="1" applyAlignment="1">
      <alignment horizontal="center" vertical="center" wrapText="1"/>
    </xf>
    <xf numFmtId="165" fontId="13" fillId="13" borderId="1" xfId="3" applyNumberFormat="1" applyFill="1" applyBorder="1" applyAlignment="1">
      <alignment horizontal="center" vertical="center" wrapText="1"/>
    </xf>
    <xf numFmtId="2" fontId="35" fillId="0" borderId="1" xfId="3" applyNumberFormat="1" applyFont="1" applyBorder="1" applyAlignment="1">
      <alignment horizontal="center" vertical="center" wrapText="1"/>
    </xf>
    <xf numFmtId="0" fontId="15" fillId="8" borderId="1" xfId="3" applyFont="1" applyFill="1" applyBorder="1" applyAlignment="1">
      <alignment vertical="center" wrapText="1"/>
    </xf>
    <xf numFmtId="165" fontId="15" fillId="0" borderId="1" xfId="3" applyNumberFormat="1" applyFont="1" applyBorder="1" applyAlignment="1">
      <alignment horizontal="center" vertical="center" wrapText="1"/>
    </xf>
    <xf numFmtId="1" fontId="15" fillId="0" borderId="1" xfId="3" applyNumberFormat="1" applyFont="1" applyBorder="1" applyAlignment="1">
      <alignment horizontal="center" vertical="center" wrapText="1"/>
    </xf>
    <xf numFmtId="0" fontId="22" fillId="0" borderId="3" xfId="3" applyFont="1" applyBorder="1" applyAlignment="1">
      <alignment horizontal="center" vertical="center" wrapText="1"/>
    </xf>
    <xf numFmtId="0" fontId="23" fillId="0" borderId="3" xfId="3" applyFont="1" applyBorder="1" applyAlignment="1">
      <alignment horizontal="center" vertical="center" wrapText="1"/>
    </xf>
    <xf numFmtId="0" fontId="24" fillId="0" borderId="3" xfId="3" applyFont="1" applyBorder="1" applyAlignment="1">
      <alignment horizontal="center" vertical="center" wrapText="1"/>
    </xf>
    <xf numFmtId="1" fontId="29" fillId="0" borderId="20" xfId="3" applyNumberFormat="1" applyFont="1" applyBorder="1" applyAlignment="1">
      <alignment horizontal="center" vertical="center" wrapText="1"/>
    </xf>
    <xf numFmtId="1" fontId="11" fillId="0" borderId="20" xfId="3" applyNumberFormat="1" applyFont="1" applyBorder="1" applyAlignment="1">
      <alignment horizontal="center" vertical="center" wrapText="1"/>
    </xf>
    <xf numFmtId="1" fontId="30" fillId="0" borderId="20" xfId="3" applyNumberFormat="1" applyFont="1" applyBorder="1" applyAlignment="1">
      <alignment horizontal="center" vertical="center" wrapText="1"/>
    </xf>
    <xf numFmtId="1" fontId="31" fillId="0" borderId="20" xfId="3" applyNumberFormat="1" applyFont="1" applyBorder="1" applyAlignment="1">
      <alignment horizontal="center" vertical="center" wrapText="1"/>
    </xf>
    <xf numFmtId="0" fontId="13" fillId="0" borderId="20" xfId="3" applyBorder="1" applyAlignment="1">
      <alignment horizontal="center" vertical="center" wrapText="1"/>
    </xf>
    <xf numFmtId="0" fontId="15" fillId="0" borderId="4" xfId="3" applyFont="1" applyBorder="1" applyAlignment="1">
      <alignment horizontal="left" vertical="center" wrapText="1"/>
    </xf>
    <xf numFmtId="0" fontId="15" fillId="0" borderId="2" xfId="3" applyFont="1" applyBorder="1" applyAlignment="1">
      <alignment horizontal="left" vertical="center" wrapText="1"/>
    </xf>
    <xf numFmtId="0" fontId="13" fillId="0" borderId="2" xfId="3" applyBorder="1" applyAlignment="1">
      <alignment horizontal="left" vertical="center" wrapText="1"/>
    </xf>
    <xf numFmtId="0" fontId="13" fillId="0" borderId="21" xfId="3" applyBorder="1" applyAlignment="1">
      <alignment horizontal="left" vertical="center" wrapText="1"/>
    </xf>
    <xf numFmtId="0" fontId="15" fillId="0" borderId="23" xfId="3" applyFont="1" applyBorder="1" applyAlignment="1">
      <alignment horizontal="left" vertical="center" wrapText="1"/>
    </xf>
    <xf numFmtId="0" fontId="13" fillId="0" borderId="23" xfId="3" applyBorder="1" applyAlignment="1">
      <alignment horizontal="center" vertical="center" wrapText="1"/>
    </xf>
    <xf numFmtId="0" fontId="13" fillId="0" borderId="5" xfId="3" applyBorder="1" applyAlignment="1">
      <alignment horizontal="center" vertical="center" wrapText="1"/>
    </xf>
    <xf numFmtId="0" fontId="41" fillId="0" borderId="3" xfId="3" applyFont="1" applyBorder="1" applyAlignment="1">
      <alignment horizontal="center" vertical="center" wrapText="1"/>
    </xf>
    <xf numFmtId="0" fontId="22" fillId="0" borderId="22" xfId="3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42" fillId="0" borderId="0" xfId="0" applyFont="1"/>
    <xf numFmtId="0" fontId="11" fillId="0" borderId="24" xfId="1" applyFont="1" applyBorder="1" applyAlignment="1">
      <alignment horizontal="center"/>
    </xf>
    <xf numFmtId="0" fontId="11" fillId="0" borderId="25" xfId="1" applyFont="1" applyBorder="1" applyAlignment="1">
      <alignment horizontal="center"/>
    </xf>
    <xf numFmtId="0" fontId="11" fillId="0" borderId="26" xfId="1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vertical="center" wrapText="1"/>
    </xf>
    <xf numFmtId="0" fontId="10" fillId="0" borderId="0" xfId="0" applyFont="1" applyAlignment="1">
      <alignment wrapText="1"/>
    </xf>
    <xf numFmtId="0" fontId="43" fillId="0" borderId="0" xfId="0" applyFont="1"/>
    <xf numFmtId="0" fontId="44" fillId="0" borderId="0" xfId="0" applyFont="1"/>
    <xf numFmtId="0" fontId="45" fillId="0" borderId="0" xfId="0" applyFont="1"/>
    <xf numFmtId="0" fontId="10" fillId="0" borderId="0" xfId="0" applyFont="1" applyAlignment="1"/>
    <xf numFmtId="0" fontId="0" fillId="0" borderId="1" xfId="0" applyBorder="1"/>
    <xf numFmtId="0" fontId="0" fillId="0" borderId="1" xfId="0" applyFont="1" applyBorder="1"/>
    <xf numFmtId="167" fontId="0" fillId="0" borderId="1" xfId="0" applyNumberFormat="1" applyBorder="1"/>
    <xf numFmtId="10" fontId="0" fillId="0" borderId="1" xfId="4" applyNumberFormat="1" applyFont="1" applyBorder="1"/>
    <xf numFmtId="168" fontId="0" fillId="0" borderId="1" xfId="0" applyNumberFormat="1" applyBorder="1"/>
    <xf numFmtId="169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7" borderId="1" xfId="3" applyFont="1" applyFill="1" applyBorder="1" applyAlignment="1">
      <alignment horizontal="center" vertical="center" wrapText="1"/>
    </xf>
    <xf numFmtId="0" fontId="15" fillId="8" borderId="1" xfId="3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  <xf numFmtId="0" fontId="15" fillId="7" borderId="1" xfId="3" applyFont="1" applyFill="1" applyBorder="1" applyAlignment="1">
      <alignment horizontal="left" vertical="center" wrapText="1"/>
    </xf>
    <xf numFmtId="0" fontId="15" fillId="8" borderId="1" xfId="3" applyFont="1" applyFill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17" borderId="0" xfId="0" applyFill="1" applyAlignment="1">
      <alignment horizontal="center" vertical="center"/>
    </xf>
  </cellXfs>
  <cellStyles count="5">
    <cellStyle name="Normal" xfId="0" builtinId="0"/>
    <cellStyle name="Normal 2" xfId="1" xr:uid="{A1EA9A27-53DD-404C-ADC9-7AD5E0AB0866}"/>
    <cellStyle name="Normal 3" xfId="3" xr:uid="{51D027EB-13B3-4C3D-99CE-E901EBBC0DC3}"/>
    <cellStyle name="Percent" xfId="4" builtinId="5"/>
    <cellStyle name="Percent 2" xfId="2" xr:uid="{A123FCE9-B418-4093-B5B5-71CF3C8C43AA}"/>
  </cellStyles>
  <dxfs count="144">
    <dxf>
      <fill>
        <patternFill>
          <bgColor theme="4"/>
        </patternFill>
      </fill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5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  <numFmt numFmtId="15" formatCode="0.00E+00"/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/>
        <right/>
        <top/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0.00&quot;Mpa&quot;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219075</xdr:colOff>
      <xdr:row>4</xdr:row>
      <xdr:rowOff>50594</xdr:rowOff>
    </xdr:from>
    <xdr:to>
      <xdr:col>17</xdr:col>
      <xdr:colOff>3805</xdr:colOff>
      <xdr:row>24</xdr:row>
      <xdr:rowOff>104722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8DFB00-9D40-4B5C-B414-04F9EA75E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8200" y="812594"/>
          <a:ext cx="5880730" cy="394032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08275A-BBA5-4DA7-B602-F896C500475A}" name="CLT_Con_EC2" displayName="CLT_Con_EC2" ref="B8:P22" totalsRowShown="0" headerRowDxfId="143" headerRowBorderDxfId="142" tableBorderDxfId="141">
  <autoFilter ref="B8:P22" xr:uid="{2063F0D8-3831-49DB-8632-CB4E1C40CC24}"/>
  <tableColumns count="15">
    <tableColumn id="1" xr3:uid="{6D887FFC-4197-4361-BC7D-452A32E8D25C}" name="grade" dataDxfId="140"/>
    <tableColumn id="2" xr3:uid="{1680740C-DFDF-496E-B005-7140501340FE}" name="fck" dataDxfId="139"/>
    <tableColumn id="3" xr3:uid="{10AF919F-4372-49EB-B4A7-D137E0C1DF70}" name="fck,cube" dataDxfId="138"/>
    <tableColumn id="4" xr3:uid="{C94418A5-0C6A-4905-804E-704D43ABA02B}" name="fcm" dataDxfId="137"/>
    <tableColumn id="5" xr3:uid="{3F9303DD-0F19-4C85-B4D2-D8732F0B6109}" name="fctm" dataDxfId="136"/>
    <tableColumn id="6" xr3:uid="{5D6E31E9-2420-4A08-B582-4F51A573D784}" name="fctk0.05" dataDxfId="135"/>
    <tableColumn id="7" xr3:uid="{02EB5DF6-748D-487E-A038-D13E36CE6285}" name="fctk0.95" dataDxfId="134"/>
    <tableColumn id="8" xr3:uid="{F196F852-0608-43B9-AB35-99CDD58729C2}" name="Ecm"/>
    <tableColumn id="9" xr3:uid="{363FC6E3-494F-46CC-9958-AA7184823DE9}" name="ec1"/>
    <tableColumn id="10" xr3:uid="{604A2307-869C-4AD4-BE52-AFE48D82D0A8}" name="ecu1"/>
    <tableColumn id="11" xr3:uid="{4382B1F4-B3A9-45D5-902A-837421F47F2D}" name="ec2"/>
    <tableColumn id="12" xr3:uid="{570395BC-D828-4D18-A511-73617C8208D7}" name="ecu2"/>
    <tableColumn id="13" xr3:uid="{CFD6FF7E-B611-4F0B-A259-12F62B9C8F44}" name="n"/>
    <tableColumn id="14" xr3:uid="{05309320-38A4-42F9-BC8D-7AEA3C943BA5}" name="ec3"/>
    <tableColumn id="15" xr3:uid="{019250C5-3AE2-4CEA-9A39-00E372693A15}" name="ecu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990CCB-72CD-4977-82F1-AFD8D25A8EC3}" name="CLT_Steel_EC3" displayName="CLT_Steel_EC3" ref="B26:F37" totalsRowShown="0" headerRowDxfId="133" headerRowBorderDxfId="132" tableBorderDxfId="131">
  <autoFilter ref="B26:F37" xr:uid="{B0C52012-1C96-4C79-927B-6D259E099647}"/>
  <tableColumns count="5">
    <tableColumn id="1" xr3:uid="{14088E22-77FC-489A-84D6-788B5B4C3A37}" name="grade"/>
    <tableColumn id="2" xr3:uid="{3F38D15B-2D8F-4083-9C0B-485EA8A256BD}" name="fy"/>
    <tableColumn id="3" xr3:uid="{673F5A11-7452-4406-A33E-DBD5916AB986}" name="fu"/>
    <tableColumn id="4" xr3:uid="{6C9ABF44-5C08-486C-92D6-AD368E86AAE0}" name="fy80"/>
    <tableColumn id="5" xr3:uid="{8E5FB42F-AB68-49F9-9BC4-91CBDF3598BC}" name="fu8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A4DBC0-3806-44B3-B15B-1FA52FDAF2FE}" name="CLT_SYS_Units" displayName="CLT_SYS_Units" ref="B43:C72" totalsRowShown="0">
  <autoFilter ref="B43:C72" xr:uid="{64160906-7215-4DB7-990B-669024E876AF}"/>
  <tableColumns count="2">
    <tableColumn id="1" xr3:uid="{09AD6628-40C4-47AB-A7BE-64AF823C9E6F}" name="Number"/>
    <tableColumn id="2" xr3:uid="{5B3326A1-1FF9-4BD4-B699-07124C741DBA}" name="Unit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842CFA-269B-40EE-8D7A-0BA4951E253E}" name="CLT_SYS_Greek" displayName="CLT_SYS_Greek" ref="H43:I66" totalsRowShown="0">
  <autoFilter ref="H43:I66" xr:uid="{CDE97EDE-93CC-4260-BCBE-C2471CB902EF}"/>
  <tableColumns count="2">
    <tableColumn id="1" xr3:uid="{81218855-5E36-42BA-91AE-3B7C6DA0DFDC}" name="inputs" dataDxfId="130"/>
    <tableColumn id="2" xr3:uid="{D9F2F629-14D0-43AC-8395-92C1621E4FEB}" name="Greek" dataDxfId="12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818381-6137-474B-8B5D-69EAB298580B}" name="CLT_SteelProfiles_EU" displayName="CLT_SteelProfiles_EU" ref="B123:W330" totalsRowShown="0" headerRowDxfId="128" dataDxfId="127">
  <autoFilter ref="B123:W330" xr:uid="{E08BEBDC-244C-4F43-83E8-641DD9BD8C4D}"/>
  <tableColumns count="22">
    <tableColumn id="1" xr3:uid="{CA387920-9DB9-43B0-ADE3-9C5F081B27A4}" name="Profile" dataDxfId="126"/>
    <tableColumn id="2" xr3:uid="{ACC7BB6D-392A-4828-8452-D0AF6E49D5FB}" name="G" dataDxfId="125"/>
    <tableColumn id="3" xr3:uid="{839B1D9A-F4C9-4741-BDEC-A30286DF15C4}" name="h" dataDxfId="124"/>
    <tableColumn id="4" xr3:uid="{78210A16-B0A8-4CE1-83DD-FD6CA2A4E9B8}" name="b" dataDxfId="123"/>
    <tableColumn id="5" xr3:uid="{AD4959BA-CC05-4311-8FF0-C8C64A9E5F9B}" name="tw" dataDxfId="122"/>
    <tableColumn id="6" xr3:uid="{A5BA86E4-FB43-428A-8991-4FA47649AB69}" name="tf" dataDxfId="121"/>
    <tableColumn id="7" xr3:uid="{3E121C84-D9DC-4B6D-B31A-36EECFC73745}" name="r" dataDxfId="120"/>
    <tableColumn id="8" xr3:uid="{E8C9B182-5BC7-4E76-94E5-7C8ECB9688F2}" name="A" dataDxfId="119"/>
    <tableColumn id="9" xr3:uid="{4ABEA144-3D86-4FF7-A260-F1EFC8089B1D}" name="hi" dataDxfId="118"/>
    <tableColumn id="10" xr3:uid="{2D5B3F11-F668-413C-B866-647B68EB2789}" name="d" dataDxfId="117"/>
    <tableColumn id="11" xr3:uid="{FBA4E617-85BE-4A0A-887C-22B9C2C899F4}" name="Iy" dataDxfId="116"/>
    <tableColumn id="12" xr3:uid="{3CE63375-9B4D-4DC1-87B2-14C32E566E9A}" name="Wely" dataDxfId="115"/>
    <tableColumn id="13" xr3:uid="{71686367-9E0E-4545-BDCA-BCF0ACA14F9C}" name="Wply" dataDxfId="114"/>
    <tableColumn id="14" xr3:uid="{69197A1F-B550-4332-B0E0-0DF470100ADC}" name="iy2" dataDxfId="113"/>
    <tableColumn id="15" xr3:uid="{E22990F3-05E1-405E-9E9B-DD7FED87A56F}" name="Avz" dataDxfId="112"/>
    <tableColumn id="16" xr3:uid="{82F3254B-ED0A-473C-83B7-93BA02483FEA}" name="Iz" dataDxfId="111"/>
    <tableColumn id="17" xr3:uid="{82FA1907-B153-44ED-A1F6-B5A44E7B6012}" name="Welz" dataDxfId="110"/>
    <tableColumn id="18" xr3:uid="{42965B35-0FF5-4C76-B598-5BE66E061849}" name="Wplz " dataDxfId="109"/>
    <tableColumn id="19" xr3:uid="{A9A6F878-82AC-46E7-84A2-ED30BB0F9F46}" name=" iz" dataDxfId="108"/>
    <tableColumn id="20" xr3:uid="{976E0983-E8A4-4E75-B580-EB63DACCD6B9}" name="ss" dataDxfId="107"/>
    <tableColumn id="21" xr3:uid="{C7AC3A93-C173-420D-B4F9-05EABC1BACE1}" name="It" dataDxfId="106"/>
    <tableColumn id="22" xr3:uid="{4104D812-5F8A-4CD2-9435-FB0E471B90C0}" name="Iw" dataDxfId="10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AFDF93-9844-4B81-8B17-3F6980BD8A56}" name="CLT_Timber_M" displayName="CLT_Timber_M" ref="G358:W573" totalsRowShown="0" headerRowDxfId="104" dataDxfId="102" headerRowBorderDxfId="103" tableBorderDxfId="101" totalsRowBorderDxfId="100" headerRowCellStyle="Normal 3" dataCellStyle="Normal 3">
  <autoFilter ref="G358:W573" xr:uid="{56AFDF93-9844-4B81-8B17-3F6980BD8A56}"/>
  <tableColumns count="17">
    <tableColumn id="1" xr3:uid="{426B8360-89FB-47F7-A495-A1D9BDC7779D}" name="Symbole" dataDxfId="99" dataCellStyle="Normal 3">
      <calculatedColumnFormula>CONCATENATE($B$565,D359)</calculatedColumnFormula>
    </tableColumn>
    <tableColumn id="2" xr3:uid="{00C9E085-D230-427C-AAAE-1CB30B2CAFA5}" name="Column1" dataDxfId="98" dataCellStyle="Normal 3"/>
    <tableColumn id="3" xr3:uid="{AF02C157-BCD6-44EE-8321-14EBAE99F142}" name="fmk" dataDxfId="97" dataCellStyle="Normal 3"/>
    <tableColumn id="4" xr3:uid="{A34B945D-6144-46AC-9944-DADCC2EE0F24}" name="ftkP" dataDxfId="96" dataCellStyle="Normal 3"/>
    <tableColumn id="5" xr3:uid="{ACB62515-A20D-457C-88CB-B9215901A23B}" name="ftkT" dataDxfId="95" dataCellStyle="Normal 3"/>
    <tableColumn id="6" xr3:uid="{9A7D3592-0276-4D00-845B-EEAAF9976EA3}" name="fckP" dataDxfId="94" dataCellStyle="Normal 3"/>
    <tableColumn id="7" xr3:uid="{EAB225BC-F451-4CCC-A3EF-70282563B9EE}" name="fckT" dataDxfId="93" dataCellStyle="Normal 3"/>
    <tableColumn id="8" xr3:uid="{B23C35BA-A74A-4ED5-B217-D78665A5594B}" name="fvk" dataDxfId="92" dataCellStyle="Normal 3"/>
    <tableColumn id="9" xr3:uid="{BB9A2C5C-7A94-4504-B656-88637C5566AD}" name="fRvk" dataDxfId="91" dataCellStyle="Normal 3"/>
    <tableColumn id="10" xr3:uid="{6CA44279-6D38-418E-921B-B1674649E0CC}" name="E0.05P" dataDxfId="90" dataCellStyle="Normal 3"/>
    <tableColumn id="11" xr3:uid="{1E83D7F0-385F-4032-8F64-1B21A574D5D0}" name="EmP" dataDxfId="89" dataCellStyle="Normal 3"/>
    <tableColumn id="12" xr3:uid="{93A3A323-D6B2-4334-97E6-CD2C569DC11E}" name="EmT" dataDxfId="88" dataCellStyle="Normal 3"/>
    <tableColumn id="13" xr3:uid="{838BCE59-7AB6-4C16-B2B3-995A7DA27AA9}" name="Gm" dataDxfId="87" dataCellStyle="Normal 3"/>
    <tableColumn id="14" xr3:uid="{07923ABC-9E78-4090-B86B-0A4E5A9D5B17}" name="GRm" dataDxfId="86" dataCellStyle="Normal 3"/>
    <tableColumn id="15" xr3:uid="{C7F7436A-57F6-47FA-84F6-766CD51FB9DE}" name="rhok" dataDxfId="85" dataCellStyle="Normal 3"/>
    <tableColumn id="16" xr3:uid="{4375BA52-F7B3-4437-BD94-A51AE32DBB9A}" name="rhokm" dataDxfId="84" dataCellStyle="Normal 3"/>
    <tableColumn id="17" xr3:uid="{F7F189BA-A79E-4139-AC7F-2C874B4DC598}" name="type" dataDxfId="83" dataCellStyle="Normal 3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1FD8515-6E96-4FE8-BC16-5757585247D3}" name="CLT_Rebars" displayName="CLT_Rebars" ref="J25:J39" totalsRowShown="0" headerRowDxfId="82" dataDxfId="81" tableBorderDxfId="80" dataCellStyle="Normal 2">
  <autoFilter ref="J25:J39" xr:uid="{C1FD8515-6E96-4FE8-BC16-5757585247D3}"/>
  <tableColumns count="1">
    <tableColumn id="1" xr3:uid="{36CB8CA3-0549-4055-A7D1-13FC8E7DD55F}" name="Rebar dia" dataDxfId="79" dataCellStyle="Normal 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8909E83-5639-4C3A-A933-B68FC52EF00D}" name="CLT_TwoWaySlabA0" displayName="CLT_TwoWaySlabA0" ref="E605:I615" totalsRowShown="0" headerRowDxfId="78" dataDxfId="77">
  <autoFilter ref="E605:I615" xr:uid="{98909E83-5639-4C3A-A933-B68FC52EF00D}"/>
  <tableColumns count="5">
    <tableColumn id="1" xr3:uid="{281FCFF7-CC33-4DEA-A29C-5F8B42E4B462}" name="lx/ly" dataDxfId="76"/>
    <tableColumn id="2" xr3:uid="{AFF857BB-A211-4B90-B6EB-BDC97C72FF74}" name="ax" dataDxfId="75"/>
    <tableColumn id="3" xr3:uid="{867D537F-3E09-49B6-BBA5-D11DDEBDE2B9}" name="ay" dataDxfId="74"/>
    <tableColumn id="4" xr3:uid="{0DAAFA67-7506-4274-A9D2-D64A4CC84C85}" name="ax0" dataDxfId="73"/>
    <tableColumn id="5" xr3:uid="{06F8F6E6-A472-41F3-8690-6B27AD616869}" name="ay0" dataDxfId="72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2AFBFB-E6F6-446A-A19D-3B73D8FF430D}" name="CLT_TwoWaySlabType" displayName="CLT_TwoWaySlabType" ref="B604:C614" totalsRowShown="0" headerRowDxfId="71" dataDxfId="70">
  <autoFilter ref="B604:C614" xr:uid="{B22AFBFB-E6F6-446A-A19D-3B73D8FF430D}"/>
  <tableColumns count="2">
    <tableColumn id="1" xr3:uid="{020EC299-B65B-427C-BD54-8517C1B2CFB3}" name="Support types" dataDxfId="69"/>
    <tableColumn id="2" xr3:uid="{BF683902-F4D6-415D-8DA3-9DB049798843}" name="ID" dataDxfId="68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00DB042-02FC-415B-AA1D-9051B18646DC}" name="CLT_TwoWaySlabA1" displayName="CLT_TwoWaySlabA1" ref="K605:O613" totalsRowShown="0" headerRowDxfId="67" dataDxfId="66">
  <autoFilter ref="K605:O613" xr:uid="{100DB042-02FC-415B-AA1D-9051B18646DC}"/>
  <tableColumns count="5">
    <tableColumn id="1" xr3:uid="{309BCCAB-9651-4971-B937-15B1BB9AAAB3}" name="lx/ly" dataDxfId="65"/>
    <tableColumn id="2" xr3:uid="{B5616648-60A8-473A-BAFC-2EEA4C69E7A1}" name="ax" dataDxfId="64"/>
    <tableColumn id="3" xr3:uid="{D17BB206-D0B2-43A7-A425-1B305166A4B3}" name="ay" dataDxfId="63"/>
    <tableColumn id="4" xr3:uid="{86BD73DE-95B3-4F6C-94B9-A9CEBC55C1BD}" name="ax0" dataDxfId="62"/>
    <tableColumn id="5" xr3:uid="{3E8CAB56-05EB-4E9D-9B7E-A4AD2B81F719}" name="ay0" dataDxfId="61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B877AC-05B6-4F7A-84B1-B41AE1575D66}" name="CLT_TwoWaySlabA2" displayName="CLT_TwoWaySlabA2" ref="Q605:U613" totalsRowShown="0" headerRowDxfId="60" dataDxfId="59">
  <autoFilter ref="Q605:U613" xr:uid="{08B877AC-05B6-4F7A-84B1-B41AE1575D66}"/>
  <tableColumns count="5">
    <tableColumn id="1" xr3:uid="{D1F47BCB-FE37-487E-B260-2B72FB03D6C9}" name="lx/ly" dataDxfId="58"/>
    <tableColumn id="2" xr3:uid="{35F67806-27C6-4B26-8AAD-8E97D1CEEFC0}" name="ax" dataDxfId="57"/>
    <tableColumn id="3" xr3:uid="{77C00A76-B85D-414E-9C74-4FEB8AECA7CE}" name="ay" dataDxfId="56"/>
    <tableColumn id="4" xr3:uid="{CEDD3EB9-4EFD-466D-90B2-D417B1823C6A}" name="ax0" dataDxfId="55"/>
    <tableColumn id="5" xr3:uid="{727FA5FB-6FB0-40F1-9CF8-9B3F1DB537F1}" name="ay0" dataDxfId="54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D52305-33C9-47BE-A4C6-AA7AEC65FCA7}" name="CLT_TwoWaySlabA3" displayName="CLT_TwoWaySlabA3" ref="E621:I629" totalsRowShown="0" headerRowDxfId="53" dataDxfId="52">
  <autoFilter ref="E621:I629" xr:uid="{FDD52305-33C9-47BE-A4C6-AA7AEC65FCA7}"/>
  <tableColumns count="5">
    <tableColumn id="1" xr3:uid="{5C34DD20-008B-4C25-89A2-69D1D1EF90DA}" name="lx/ly" dataDxfId="51"/>
    <tableColumn id="2" xr3:uid="{4D97EFEB-8508-4F61-BEEB-C2A8154CD4B0}" name="ax" dataDxfId="50"/>
    <tableColumn id="3" xr3:uid="{FAFEBA25-1A23-4E58-AC58-FD520E915CE2}" name="ay" dataDxfId="49"/>
    <tableColumn id="4" xr3:uid="{D931D365-5383-4AD4-9D3A-D259A99310BA}" name="ax0" dataDxfId="48"/>
    <tableColumn id="5" xr3:uid="{29458003-C5B7-4517-8AF3-EEEB4A88F8FB}" name="ay0" dataDxfId="47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6011AD-67EA-4C36-9809-C97E11927628}" name="CLT_TwoWaySlabA4" displayName="CLT_TwoWaySlabA4" ref="K622:O630" totalsRowShown="0" headerRowDxfId="46" dataDxfId="45">
  <autoFilter ref="K622:O630" xr:uid="{4D6011AD-67EA-4C36-9809-C97E11927628}"/>
  <tableColumns count="5">
    <tableColumn id="1" xr3:uid="{9FFAF291-261E-4AF1-A225-2F2FC0A25DB1}" name="lx/ly" dataDxfId="44"/>
    <tableColumn id="2" xr3:uid="{C2C10BC3-6044-4356-9044-661889E09CCA}" name="ax" dataDxfId="43"/>
    <tableColumn id="3" xr3:uid="{0354131A-7E4A-476C-BF99-1F00F32DB12B}" name="ay" dataDxfId="42"/>
    <tableColumn id="4" xr3:uid="{B9596BB4-44E3-4BA5-B168-1CAE4AAA4A24}" name="ax0" dataDxfId="41"/>
    <tableColumn id="5" xr3:uid="{E63DF0F1-73F3-466E-9A39-6E2B9F1BD4BB}" name="ay0" dataDxfId="40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CEF95-2478-46E8-9A28-4AAA79490F6F}" name="CLT_TwoWaySlabA5" displayName="CLT_TwoWaySlabA5" ref="Q622:U630" totalsRowShown="0" headerRowDxfId="39" dataDxfId="38">
  <autoFilter ref="Q622:U630" xr:uid="{126CEF95-2478-46E8-9A28-4AAA79490F6F}"/>
  <tableColumns count="5">
    <tableColumn id="1" xr3:uid="{77DFACB7-3BCB-4C45-BC02-F4D9209DFC81}" name="lx/ly" dataDxfId="37"/>
    <tableColumn id="2" xr3:uid="{10E79C7D-0AAB-48F0-99E4-2F2FF23DF131}" name="ax" dataDxfId="36"/>
    <tableColumn id="3" xr3:uid="{704F36BE-542F-4A19-8AC9-0F147BB8D07C}" name="ay" dataDxfId="35"/>
    <tableColumn id="4" xr3:uid="{950E96D4-40FE-4810-8720-0353B03E6532}" name="ax0" dataDxfId="34"/>
    <tableColumn id="5" xr3:uid="{3DDCC638-36C3-4BDF-898E-E605E10D2A10}" name="ay0" dataDxfId="33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3C88FC1-57C5-4260-8F3A-997E3428E93B}" name="CLT_TwoWaySlabA6" displayName="CLT_TwoWaySlabA6" ref="E636:I644" totalsRowShown="0" headerRowDxfId="32" dataDxfId="31">
  <autoFilter ref="E636:I644" xr:uid="{93C88FC1-57C5-4260-8F3A-997E3428E93B}"/>
  <tableColumns count="5">
    <tableColumn id="1" xr3:uid="{2603E0C8-8239-476B-A044-38AE03856804}" name="lx/ly" dataDxfId="30"/>
    <tableColumn id="2" xr3:uid="{58DBFBC1-B70D-40FD-8332-5776869B904C}" name="ax" dataDxfId="29"/>
    <tableColumn id="3" xr3:uid="{176969F5-88EE-4B42-BBAD-6D85C5461F61}" name="ay" dataDxfId="28"/>
    <tableColumn id="4" xr3:uid="{35D59522-835F-4071-B6AA-FE71A9FEF6B7}" name="ax0" dataDxfId="27"/>
    <tableColumn id="5" xr3:uid="{66B42C0C-38B5-4083-9BBD-A09BC28C7CAC}" name="ay0" dataDxfId="26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8FADEC0-0967-4F6C-8E79-AEDA8C384EA0}" name="CLT_TwoWaySlabA8" displayName="CLT_TwoWaySlabA8" ref="K636:O644" totalsRowShown="0" headerRowDxfId="25" dataDxfId="24">
  <autoFilter ref="K636:O644" xr:uid="{68FADEC0-0967-4F6C-8E79-AEDA8C384EA0}"/>
  <tableColumns count="5">
    <tableColumn id="1" xr3:uid="{D5B7606A-7173-481D-852D-784F03A5799C}" name="lx/ly" dataDxfId="23"/>
    <tableColumn id="2" xr3:uid="{EBD77A4D-B6B4-4803-8EDF-669E03D05DE7}" name="ax" dataDxfId="22"/>
    <tableColumn id="3" xr3:uid="{397CFB4E-677F-41B2-99AF-0588DB0C86E7}" name="ay" dataDxfId="21"/>
    <tableColumn id="4" xr3:uid="{B00A3555-2BDC-46AC-8627-C1619EAD2677}" name="ax0" dataDxfId="20"/>
    <tableColumn id="5" xr3:uid="{03D51050-43BB-4CFA-9BC9-323064410A90}" name="ay0" dataDxfId="19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8C06DF2-CEEB-430B-A61D-9E3B1FDFE184}" name="CLT_TwoWaySlabA9" displayName="CLT_TwoWaySlabA9" ref="Q636:U644" totalsRowShown="0" headerRowDxfId="18" dataDxfId="17">
  <autoFilter ref="Q636:U644" xr:uid="{78C06DF2-CEEB-430B-A61D-9E3B1FDFE184}"/>
  <tableColumns count="5">
    <tableColumn id="1" xr3:uid="{E39728EB-47EA-49E5-91FE-979A72472F26}" name="lx/ly" dataDxfId="16"/>
    <tableColumn id="2" xr3:uid="{33E99D38-E333-4BA6-A2CC-235D0C1F00F4}" name="ax" dataDxfId="15"/>
    <tableColumn id="3" xr3:uid="{6BD35980-78A6-4FAD-B659-6C8947115ADC}" name="ay" dataDxfId="14"/>
    <tableColumn id="4" xr3:uid="{8BFD24EB-0188-447C-97CE-44E0BA436B44}" name="ax0" dataDxfId="13"/>
    <tableColumn id="5" xr3:uid="{222FEDC1-AA9B-4051-ADA0-644912F17B43}" name="ay0" dataDxfId="12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A0559AC-1E37-4FE4-A603-66B0DC1ABE3C}" name="CLT_TwoWaySlabA7" displayName="CLT_TwoWaySlabA7" ref="E649:I657" totalsRowShown="0" headerRowDxfId="11" dataDxfId="10">
  <autoFilter ref="E649:I657" xr:uid="{AA0559AC-1E37-4FE4-A603-66B0DC1ABE3C}"/>
  <tableColumns count="5">
    <tableColumn id="1" xr3:uid="{B8279921-77E8-4E57-804A-C5C6E4E8C148}" name="lx/ly" dataDxfId="9"/>
    <tableColumn id="2" xr3:uid="{78D0ABBA-8EB0-416B-A4A6-F9CBD39226D6}" name="ax" dataDxfId="8"/>
    <tableColumn id="3" xr3:uid="{5314F467-8517-4ADA-9694-C199F9017189}" name="ay" dataDxfId="7"/>
    <tableColumn id="4" xr3:uid="{31A6AAF6-F358-47E0-BA92-56CEE5C06BB0}" name="ax0" dataDxfId="6"/>
    <tableColumn id="5" xr3:uid="{4454B8F5-088B-4DC3-B1DF-6A1F29A8B339}" name="ay0" dataDxfId="5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82CA06A-CE06-44F7-9E8D-6CDF338DA8C1}" name="Table13" displayName="Table13" ref="B616:C620" totalsRowShown="0" headerRowDxfId="4" dataDxfId="3">
  <autoFilter ref="B616:C620" xr:uid="{782CA06A-CE06-44F7-9E8D-6CDF338DA8C1}"/>
  <tableColumns count="2">
    <tableColumn id="1" xr3:uid="{B738D5AD-F76D-4841-8080-22016DC34631}" name="Res type" dataDxfId="2"/>
    <tableColumn id="2" xr3:uid="{9813EA3D-2965-4D8F-A0B6-AC3217669C39}" name="ID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18" Type="http://schemas.openxmlformats.org/officeDocument/2006/relationships/table" Target="../tables/table16.xml"/><Relationship Id="rId3" Type="http://schemas.openxmlformats.org/officeDocument/2006/relationships/table" Target="../tables/table1.xml"/><Relationship Id="rId21" Type="http://schemas.openxmlformats.org/officeDocument/2006/relationships/table" Target="../tables/table19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4.xml"/><Relationship Id="rId20" Type="http://schemas.openxmlformats.org/officeDocument/2006/relationships/table" Target="../tables/table1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19" Type="http://schemas.openxmlformats.org/officeDocument/2006/relationships/table" Target="../tables/table17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F9B3D-5EFD-499F-BBDE-BEB86A487CA3}">
  <sheetPr codeName="Sheet3">
    <tabColor rgb="FFFF0000"/>
  </sheetPr>
  <dimension ref="A1:Z657"/>
  <sheetViews>
    <sheetView topLeftCell="A600" workbookViewId="0">
      <selection activeCell="C632" sqref="C632"/>
    </sheetView>
  </sheetViews>
  <sheetFormatPr defaultColWidth="8.85546875" defaultRowHeight="15" x14ac:dyDescent="0.25"/>
  <cols>
    <col min="2" max="2" width="13" style="155" customWidth="1"/>
    <col min="3" max="3" width="20.140625" style="155" customWidth="1"/>
    <col min="4" max="5" width="10.42578125" style="155" customWidth="1"/>
    <col min="6" max="6" width="10.7109375" style="155" customWidth="1"/>
    <col min="7" max="7" width="16.42578125" style="155" customWidth="1"/>
    <col min="8" max="8" width="10" style="155" customWidth="1"/>
    <col min="9" max="9" width="8.85546875" style="155"/>
    <col min="10" max="10" width="11.42578125" style="155" customWidth="1"/>
    <col min="11" max="23" width="8.85546875" style="155"/>
  </cols>
  <sheetData>
    <row r="1" spans="1:26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6" x14ac:dyDescent="0.25">
      <c r="A2" s="187" t="s">
        <v>559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</row>
    <row r="3" spans="1:26" x14ac:dyDescent="0.25">
      <c r="A3" s="17" t="s">
        <v>560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6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6" s="9" customFormat="1" x14ac:dyDescent="0.25">
      <c r="B5" s="9" t="s">
        <v>567</v>
      </c>
    </row>
    <row r="6" spans="1:26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</row>
    <row r="7" spans="1:26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</row>
    <row r="8" spans="1:26" x14ac:dyDescent="0.25">
      <c r="B8" s="5" t="s">
        <v>0</v>
      </c>
      <c r="C8" s="1" t="s">
        <v>1</v>
      </c>
      <c r="D8" s="1" t="s">
        <v>2</v>
      </c>
      <c r="E8" s="1" t="s">
        <v>3</v>
      </c>
      <c r="F8" s="1" t="s">
        <v>4</v>
      </c>
      <c r="G8" s="1" t="s">
        <v>5</v>
      </c>
      <c r="H8" s="1" t="s">
        <v>6</v>
      </c>
      <c r="I8" s="1" t="s">
        <v>7</v>
      </c>
      <c r="J8" s="1" t="s">
        <v>8</v>
      </c>
      <c r="K8" s="1" t="s">
        <v>9</v>
      </c>
      <c r="L8" s="1" t="s">
        <v>10</v>
      </c>
      <c r="M8" s="1" t="s">
        <v>11</v>
      </c>
      <c r="N8" s="1" t="s">
        <v>12</v>
      </c>
      <c r="O8" s="1" t="s">
        <v>13</v>
      </c>
      <c r="P8" s="1" t="s">
        <v>14</v>
      </c>
      <c r="Q8"/>
      <c r="R8"/>
      <c r="S8"/>
      <c r="T8"/>
      <c r="U8"/>
      <c r="V8"/>
      <c r="W8"/>
    </row>
    <row r="9" spans="1:26" x14ac:dyDescent="0.25">
      <c r="B9" s="5" t="s">
        <v>15</v>
      </c>
      <c r="C9" s="2">
        <v>12</v>
      </c>
      <c r="D9" s="2">
        <v>15</v>
      </c>
      <c r="E9" s="2">
        <v>20</v>
      </c>
      <c r="F9" s="2">
        <v>1.6</v>
      </c>
      <c r="G9" s="2">
        <v>1.1000000000000001</v>
      </c>
      <c r="H9" s="2">
        <v>2</v>
      </c>
      <c r="I9">
        <v>27000</v>
      </c>
      <c r="J9">
        <v>1.8000000000000004E-3</v>
      </c>
      <c r="K9">
        <v>3.5000000000000005E-3</v>
      </c>
      <c r="L9">
        <v>2E-3</v>
      </c>
      <c r="M9">
        <v>3.5000000000000005E-3</v>
      </c>
      <c r="N9">
        <v>2E-3</v>
      </c>
      <c r="O9">
        <v>1.7500000000000003E-3</v>
      </c>
      <c r="P9">
        <v>3.5000000000000005E-3</v>
      </c>
      <c r="Q9"/>
      <c r="R9"/>
      <c r="S9"/>
      <c r="T9"/>
      <c r="U9"/>
      <c r="V9"/>
      <c r="W9"/>
    </row>
    <row r="10" spans="1:26" x14ac:dyDescent="0.25">
      <c r="B10" s="4" t="s">
        <v>16</v>
      </c>
      <c r="C10" s="3">
        <v>16</v>
      </c>
      <c r="D10" s="3">
        <v>20</v>
      </c>
      <c r="E10" s="3">
        <v>24</v>
      </c>
      <c r="F10" s="3">
        <v>1.9</v>
      </c>
      <c r="G10" s="3">
        <v>1.3</v>
      </c>
      <c r="H10" s="3">
        <v>2.5</v>
      </c>
      <c r="I10">
        <v>29000</v>
      </c>
      <c r="J10">
        <v>1.9E-3</v>
      </c>
      <c r="K10">
        <v>3.5000000000000005E-3</v>
      </c>
      <c r="L10">
        <v>2E-3</v>
      </c>
      <c r="M10">
        <v>3.5000000000000005E-3</v>
      </c>
      <c r="N10">
        <v>2E-3</v>
      </c>
      <c r="O10">
        <v>1.7500000000000003E-3</v>
      </c>
      <c r="P10">
        <v>3.5000000000000005E-3</v>
      </c>
      <c r="Q10"/>
      <c r="R10"/>
      <c r="S10"/>
      <c r="T10"/>
      <c r="U10"/>
      <c r="V10"/>
      <c r="W10"/>
    </row>
    <row r="11" spans="1:26" x14ac:dyDescent="0.25">
      <c r="B11" s="4" t="s">
        <v>17</v>
      </c>
      <c r="C11" s="3">
        <v>20</v>
      </c>
      <c r="D11" s="3">
        <v>25</v>
      </c>
      <c r="E11" s="3">
        <v>28</v>
      </c>
      <c r="F11" s="3">
        <v>2.2000000000000002</v>
      </c>
      <c r="G11" s="3">
        <v>1.5</v>
      </c>
      <c r="H11" s="3">
        <v>2.9</v>
      </c>
      <c r="I11">
        <v>30000</v>
      </c>
      <c r="J11">
        <v>2E-3</v>
      </c>
      <c r="K11">
        <v>3.5000000000000005E-3</v>
      </c>
      <c r="L11">
        <v>2E-3</v>
      </c>
      <c r="M11">
        <v>3.5000000000000005E-3</v>
      </c>
      <c r="N11">
        <v>2E-3</v>
      </c>
      <c r="O11">
        <v>1.7500000000000003E-3</v>
      </c>
      <c r="P11">
        <v>3.5000000000000005E-3</v>
      </c>
      <c r="Q11"/>
      <c r="R11"/>
      <c r="S11"/>
      <c r="T11"/>
      <c r="U11"/>
      <c r="V11"/>
      <c r="W11"/>
    </row>
    <row r="12" spans="1:26" x14ac:dyDescent="0.25">
      <c r="B12" s="4" t="s">
        <v>18</v>
      </c>
      <c r="C12" s="3">
        <v>25</v>
      </c>
      <c r="D12" s="3">
        <v>30</v>
      </c>
      <c r="E12" s="3">
        <v>33</v>
      </c>
      <c r="F12" s="3">
        <v>2.6</v>
      </c>
      <c r="G12" s="3">
        <v>1.8</v>
      </c>
      <c r="H12" s="3">
        <v>3.3</v>
      </c>
      <c r="I12">
        <v>31000</v>
      </c>
      <c r="J12">
        <v>2.1000000000000003E-3</v>
      </c>
      <c r="K12">
        <v>3.5000000000000005E-3</v>
      </c>
      <c r="L12">
        <v>2E-3</v>
      </c>
      <c r="M12">
        <v>3.5000000000000005E-3</v>
      </c>
      <c r="N12">
        <v>2E-3</v>
      </c>
      <c r="O12">
        <v>1.7500000000000003E-3</v>
      </c>
      <c r="P12">
        <v>3.5000000000000005E-3</v>
      </c>
      <c r="Q12"/>
      <c r="R12"/>
      <c r="S12"/>
      <c r="T12"/>
      <c r="U12"/>
      <c r="V12"/>
      <c r="W12"/>
    </row>
    <row r="13" spans="1:26" x14ac:dyDescent="0.25">
      <c r="B13" s="4" t="s">
        <v>19</v>
      </c>
      <c r="C13" s="3">
        <v>30</v>
      </c>
      <c r="D13" s="3">
        <v>37</v>
      </c>
      <c r="E13" s="3">
        <v>38</v>
      </c>
      <c r="F13" s="3">
        <v>2.9</v>
      </c>
      <c r="G13" s="3">
        <v>2</v>
      </c>
      <c r="H13" s="3">
        <v>3.8</v>
      </c>
      <c r="I13">
        <v>32000</v>
      </c>
      <c r="J13">
        <v>2.2000000000000001E-3</v>
      </c>
      <c r="K13">
        <v>3.5000000000000005E-3</v>
      </c>
      <c r="L13">
        <v>2E-3</v>
      </c>
      <c r="M13">
        <v>3.5000000000000005E-3</v>
      </c>
      <c r="N13">
        <v>2E-3</v>
      </c>
      <c r="O13">
        <v>1.7500000000000003E-3</v>
      </c>
      <c r="P13">
        <v>3.5000000000000005E-3</v>
      </c>
      <c r="Q13"/>
      <c r="R13"/>
      <c r="S13"/>
      <c r="T13"/>
      <c r="U13"/>
      <c r="V13"/>
      <c r="W13"/>
    </row>
    <row r="14" spans="1:26" x14ac:dyDescent="0.25">
      <c r="B14" s="4" t="s">
        <v>20</v>
      </c>
      <c r="C14" s="3">
        <v>35</v>
      </c>
      <c r="D14" s="3">
        <v>45</v>
      </c>
      <c r="E14" s="3">
        <v>43</v>
      </c>
      <c r="F14" s="3">
        <v>3.2</v>
      </c>
      <c r="G14" s="3">
        <v>2.2000000000000002</v>
      </c>
      <c r="H14" s="3">
        <v>4.2</v>
      </c>
      <c r="I14">
        <v>34000</v>
      </c>
      <c r="J14">
        <v>2.2499999999999998E-3</v>
      </c>
      <c r="K14">
        <v>3.5000000000000005E-3</v>
      </c>
      <c r="L14">
        <v>2E-3</v>
      </c>
      <c r="M14">
        <v>3.5000000000000005E-3</v>
      </c>
      <c r="N14">
        <v>2E-3</v>
      </c>
      <c r="O14">
        <v>1.7500000000000003E-3</v>
      </c>
      <c r="P14">
        <v>3.5000000000000005E-3</v>
      </c>
      <c r="Q14"/>
      <c r="R14"/>
      <c r="S14"/>
      <c r="T14"/>
      <c r="U14"/>
      <c r="V14"/>
      <c r="W14"/>
    </row>
    <row r="15" spans="1:26" x14ac:dyDescent="0.25">
      <c r="B15" s="4" t="s">
        <v>21</v>
      </c>
      <c r="C15" s="3">
        <v>40</v>
      </c>
      <c r="D15" s="3">
        <v>50</v>
      </c>
      <c r="E15" s="3">
        <v>48</v>
      </c>
      <c r="F15" s="3">
        <v>3.5</v>
      </c>
      <c r="G15" s="3">
        <v>2.5</v>
      </c>
      <c r="H15" s="3">
        <v>4.5999999999999996</v>
      </c>
      <c r="I15">
        <v>35000</v>
      </c>
      <c r="J15">
        <v>2.3E-3</v>
      </c>
      <c r="K15">
        <v>3.5000000000000005E-3</v>
      </c>
      <c r="L15">
        <v>2E-3</v>
      </c>
      <c r="M15">
        <v>3.5000000000000005E-3</v>
      </c>
      <c r="N15">
        <v>2E-3</v>
      </c>
      <c r="O15">
        <v>1.7500000000000003E-3</v>
      </c>
      <c r="P15">
        <v>3.5000000000000005E-3</v>
      </c>
      <c r="Q15"/>
      <c r="R15"/>
      <c r="S15"/>
      <c r="T15"/>
      <c r="U15"/>
      <c r="V15"/>
      <c r="W15"/>
    </row>
    <row r="16" spans="1:26" x14ac:dyDescent="0.25">
      <c r="B16" s="4" t="s">
        <v>22</v>
      </c>
      <c r="C16" s="3">
        <v>45</v>
      </c>
      <c r="D16" s="3">
        <v>55</v>
      </c>
      <c r="E16" s="3">
        <v>53</v>
      </c>
      <c r="F16" s="3">
        <v>3.8</v>
      </c>
      <c r="G16" s="3">
        <v>2.7</v>
      </c>
      <c r="H16" s="3">
        <v>4.9000000000000004</v>
      </c>
      <c r="I16">
        <v>36000</v>
      </c>
      <c r="J16">
        <v>2.4000000000000002E-3</v>
      </c>
      <c r="K16">
        <v>3.5000000000000005E-3</v>
      </c>
      <c r="L16">
        <v>2E-3</v>
      </c>
      <c r="M16">
        <v>3.5000000000000005E-3</v>
      </c>
      <c r="N16">
        <v>2E-3</v>
      </c>
      <c r="O16">
        <v>1.7500000000000003E-3</v>
      </c>
      <c r="P16">
        <v>3.5000000000000005E-3</v>
      </c>
      <c r="Q16"/>
      <c r="R16"/>
      <c r="S16"/>
      <c r="T16"/>
      <c r="U16"/>
      <c r="V16"/>
      <c r="W16"/>
    </row>
    <row r="17" spans="2:16" customFormat="1" x14ac:dyDescent="0.25">
      <c r="B17" s="4" t="s">
        <v>23</v>
      </c>
      <c r="C17" s="3">
        <v>50</v>
      </c>
      <c r="D17" s="3">
        <v>60</v>
      </c>
      <c r="E17" s="3">
        <v>58</v>
      </c>
      <c r="F17" s="3">
        <v>4.0999999999999996</v>
      </c>
      <c r="G17" s="3">
        <v>2.9</v>
      </c>
      <c r="H17" s="3">
        <v>5.3</v>
      </c>
      <c r="I17">
        <v>37000</v>
      </c>
      <c r="J17">
        <v>2.4500000000000004E-3</v>
      </c>
      <c r="K17">
        <v>3.5000000000000005E-3</v>
      </c>
      <c r="L17">
        <v>2E-3</v>
      </c>
      <c r="M17">
        <v>3.5000000000000005E-3</v>
      </c>
      <c r="N17">
        <v>2E-3</v>
      </c>
      <c r="O17">
        <v>1.7500000000000003E-3</v>
      </c>
      <c r="P17">
        <v>3.5000000000000005E-3</v>
      </c>
    </row>
    <row r="18" spans="2:16" customFormat="1" x14ac:dyDescent="0.25">
      <c r="B18" s="4" t="s">
        <v>24</v>
      </c>
      <c r="C18" s="3">
        <v>55</v>
      </c>
      <c r="D18" s="3">
        <v>67</v>
      </c>
      <c r="E18" s="3">
        <v>63</v>
      </c>
      <c r="F18" s="3">
        <v>4.2</v>
      </c>
      <c r="G18" s="3">
        <v>3</v>
      </c>
      <c r="H18" s="3">
        <v>5.5</v>
      </c>
      <c r="I18">
        <v>38000</v>
      </c>
      <c r="J18">
        <v>2.5000000000000005E-3</v>
      </c>
      <c r="K18">
        <v>3.2000000000000002E-3</v>
      </c>
      <c r="L18">
        <v>2.2000000000000001E-3</v>
      </c>
      <c r="M18">
        <v>3.1000000000000003E-3</v>
      </c>
      <c r="N18">
        <v>1.7500000000000003E-3</v>
      </c>
      <c r="O18">
        <v>1.8000000000000004E-3</v>
      </c>
      <c r="P18">
        <v>3.1000000000000003E-3</v>
      </c>
    </row>
    <row r="19" spans="2:16" customFormat="1" x14ac:dyDescent="0.25">
      <c r="B19" s="4" t="s">
        <v>25</v>
      </c>
      <c r="C19" s="3">
        <v>60</v>
      </c>
      <c r="D19" s="3">
        <v>75</v>
      </c>
      <c r="E19" s="3">
        <v>68</v>
      </c>
      <c r="F19" s="3">
        <v>4.4000000000000004</v>
      </c>
      <c r="G19" s="3">
        <v>3.1</v>
      </c>
      <c r="H19" s="3">
        <v>5.7</v>
      </c>
      <c r="I19">
        <v>39000</v>
      </c>
      <c r="J19">
        <v>2.6000000000000003E-3</v>
      </c>
      <c r="K19">
        <v>3.0000000000000001E-3</v>
      </c>
      <c r="L19">
        <v>2.3E-3</v>
      </c>
      <c r="M19">
        <v>2.8999999999999998E-3</v>
      </c>
      <c r="N19">
        <v>1.6000000000000001E-3</v>
      </c>
      <c r="O19">
        <v>1.9E-3</v>
      </c>
      <c r="P19">
        <v>2.8999999999999998E-3</v>
      </c>
    </row>
    <row r="20" spans="2:16" customFormat="1" x14ac:dyDescent="0.25">
      <c r="B20" s="4" t="s">
        <v>26</v>
      </c>
      <c r="C20" s="3">
        <v>70</v>
      </c>
      <c r="D20" s="3">
        <v>85</v>
      </c>
      <c r="E20" s="3">
        <v>78</v>
      </c>
      <c r="F20" s="3">
        <v>4.5999999999999996</v>
      </c>
      <c r="G20" s="3">
        <v>3.2</v>
      </c>
      <c r="H20" s="3">
        <v>6</v>
      </c>
      <c r="I20">
        <v>41000</v>
      </c>
      <c r="J20">
        <v>2.7000000000000006E-3</v>
      </c>
      <c r="K20">
        <v>2.8E-3</v>
      </c>
      <c r="L20">
        <v>2.4000000000000002E-3</v>
      </c>
      <c r="M20">
        <v>2.7000000000000006E-3</v>
      </c>
      <c r="N20">
        <v>1.4499999999999999E-3</v>
      </c>
      <c r="O20">
        <v>2E-3</v>
      </c>
      <c r="P20">
        <v>2.7000000000000006E-3</v>
      </c>
    </row>
    <row r="21" spans="2:16" customFormat="1" x14ac:dyDescent="0.25">
      <c r="B21" s="4" t="s">
        <v>27</v>
      </c>
      <c r="C21" s="3">
        <v>80</v>
      </c>
      <c r="D21" s="3">
        <v>95</v>
      </c>
      <c r="E21" s="3">
        <v>88</v>
      </c>
      <c r="F21" s="3">
        <v>4.8</v>
      </c>
      <c r="G21" s="3">
        <v>3.4</v>
      </c>
      <c r="H21" s="3">
        <v>6.3</v>
      </c>
      <c r="I21">
        <v>42000</v>
      </c>
      <c r="J21">
        <v>2.8E-3</v>
      </c>
      <c r="K21">
        <v>2.8E-3</v>
      </c>
      <c r="L21">
        <v>2.5000000000000005E-3</v>
      </c>
      <c r="M21">
        <v>2.6000000000000003E-3</v>
      </c>
      <c r="N21">
        <v>1.4E-3</v>
      </c>
      <c r="O21">
        <v>2.2000000000000001E-3</v>
      </c>
      <c r="P21">
        <v>2.6000000000000003E-3</v>
      </c>
    </row>
    <row r="22" spans="2:16" customFormat="1" x14ac:dyDescent="0.25">
      <c r="B22" s="4" t="s">
        <v>28</v>
      </c>
      <c r="C22" s="3">
        <v>90</v>
      </c>
      <c r="D22" s="3">
        <v>105</v>
      </c>
      <c r="E22" s="3">
        <v>98</v>
      </c>
      <c r="F22" s="3">
        <v>5</v>
      </c>
      <c r="G22" s="3">
        <v>3.5</v>
      </c>
      <c r="H22" s="3">
        <v>6.6</v>
      </c>
      <c r="I22">
        <v>44000</v>
      </c>
      <c r="J22">
        <v>2.8E-3</v>
      </c>
      <c r="K22">
        <v>2.8E-3</v>
      </c>
      <c r="L22">
        <v>2.6000000000000003E-3</v>
      </c>
      <c r="M22">
        <v>2.6000000000000003E-3</v>
      </c>
      <c r="N22">
        <v>1.4E-3</v>
      </c>
      <c r="O22">
        <v>2.3E-3</v>
      </c>
      <c r="P22">
        <v>2.6000000000000003E-3</v>
      </c>
    </row>
    <row r="23" spans="2:16" customFormat="1" x14ac:dyDescent="0.25"/>
    <row r="24" spans="2:16" s="9" customFormat="1" x14ac:dyDescent="0.25">
      <c r="B24" s="9" t="s">
        <v>568</v>
      </c>
    </row>
    <row r="25" spans="2:16" customFormat="1" ht="15.75" thickBot="1" x14ac:dyDescent="0.3">
      <c r="J25" s="156" t="s">
        <v>769</v>
      </c>
    </row>
    <row r="26" spans="2:16" customFormat="1" ht="15.75" thickBot="1" x14ac:dyDescent="0.3">
      <c r="B26" s="7" t="s">
        <v>0</v>
      </c>
      <c r="C26" s="7" t="s">
        <v>563</v>
      </c>
      <c r="D26" s="8" t="s">
        <v>564</v>
      </c>
      <c r="E26" s="8" t="s">
        <v>565</v>
      </c>
      <c r="F26" s="8" t="s">
        <v>566</v>
      </c>
      <c r="J26" s="157">
        <v>4</v>
      </c>
    </row>
    <row r="27" spans="2:16" customFormat="1" ht="15.75" thickBot="1" x14ac:dyDescent="0.3">
      <c r="B27" t="s">
        <v>29</v>
      </c>
      <c r="C27">
        <v>235</v>
      </c>
      <c r="D27">
        <v>360</v>
      </c>
      <c r="E27">
        <v>215</v>
      </c>
      <c r="F27">
        <v>360</v>
      </c>
      <c r="J27" s="158">
        <v>5</v>
      </c>
    </row>
    <row r="28" spans="2:16" customFormat="1" ht="15.75" thickBot="1" x14ac:dyDescent="0.3">
      <c r="B28" t="s">
        <v>30</v>
      </c>
      <c r="C28">
        <v>275</v>
      </c>
      <c r="D28">
        <v>430</v>
      </c>
      <c r="E28">
        <v>255</v>
      </c>
      <c r="F28">
        <v>410</v>
      </c>
      <c r="J28" s="158">
        <v>6</v>
      </c>
    </row>
    <row r="29" spans="2:16" customFormat="1" ht="15.75" thickBot="1" x14ac:dyDescent="0.3">
      <c r="B29" t="s">
        <v>31</v>
      </c>
      <c r="C29">
        <v>355</v>
      </c>
      <c r="D29">
        <v>490</v>
      </c>
      <c r="E29">
        <v>335</v>
      </c>
      <c r="F29">
        <v>470</v>
      </c>
      <c r="J29" s="158">
        <v>8</v>
      </c>
    </row>
    <row r="30" spans="2:16" customFormat="1" ht="15.75" thickBot="1" x14ac:dyDescent="0.3">
      <c r="B30" t="s">
        <v>32</v>
      </c>
      <c r="C30">
        <v>440</v>
      </c>
      <c r="D30">
        <v>550</v>
      </c>
      <c r="E30">
        <v>410</v>
      </c>
      <c r="F30">
        <v>550</v>
      </c>
      <c r="J30" s="158">
        <v>10</v>
      </c>
    </row>
    <row r="31" spans="2:16" customFormat="1" ht="15.75" thickBot="1" x14ac:dyDescent="0.3">
      <c r="B31" t="s">
        <v>33</v>
      </c>
      <c r="C31">
        <v>420</v>
      </c>
      <c r="D31">
        <v>520</v>
      </c>
      <c r="E31">
        <v>390</v>
      </c>
      <c r="F31">
        <v>520</v>
      </c>
      <c r="J31" s="158">
        <v>12</v>
      </c>
    </row>
    <row r="32" spans="2:16" customFormat="1" ht="15.75" thickBot="1" x14ac:dyDescent="0.3">
      <c r="B32" t="s">
        <v>34</v>
      </c>
      <c r="C32">
        <v>460</v>
      </c>
      <c r="D32">
        <v>540</v>
      </c>
      <c r="E32">
        <v>430</v>
      </c>
      <c r="F32">
        <v>540</v>
      </c>
      <c r="J32" s="158">
        <v>14</v>
      </c>
    </row>
    <row r="33" spans="2:11" customFormat="1" ht="15.75" thickBot="1" x14ac:dyDescent="0.3">
      <c r="B33" t="s">
        <v>35</v>
      </c>
      <c r="C33">
        <v>500</v>
      </c>
      <c r="D33">
        <v>580</v>
      </c>
      <c r="E33">
        <v>450</v>
      </c>
      <c r="F33">
        <v>580</v>
      </c>
      <c r="J33" s="158">
        <v>16</v>
      </c>
    </row>
    <row r="34" spans="2:11" customFormat="1" ht="15.75" thickBot="1" x14ac:dyDescent="0.3">
      <c r="B34" t="s">
        <v>36</v>
      </c>
      <c r="C34">
        <v>550</v>
      </c>
      <c r="D34">
        <v>600</v>
      </c>
      <c r="E34">
        <v>500</v>
      </c>
      <c r="F34">
        <v>600</v>
      </c>
      <c r="J34" s="158">
        <v>18</v>
      </c>
    </row>
    <row r="35" spans="2:11" customFormat="1" ht="15.75" thickBot="1" x14ac:dyDescent="0.3">
      <c r="B35" t="s">
        <v>37</v>
      </c>
      <c r="C35">
        <v>600</v>
      </c>
      <c r="D35">
        <v>650</v>
      </c>
      <c r="E35">
        <v>550</v>
      </c>
      <c r="F35">
        <v>650</v>
      </c>
      <c r="J35" s="158">
        <v>20</v>
      </c>
    </row>
    <row r="36" spans="2:11" customFormat="1" ht="15.75" thickBot="1" x14ac:dyDescent="0.3">
      <c r="B36" t="s">
        <v>38</v>
      </c>
      <c r="C36">
        <v>620</v>
      </c>
      <c r="D36">
        <v>700</v>
      </c>
      <c r="E36">
        <v>560</v>
      </c>
      <c r="F36">
        <v>660</v>
      </c>
      <c r="J36" s="158">
        <v>25</v>
      </c>
    </row>
    <row r="37" spans="2:11" customFormat="1" ht="15.75" thickBot="1" x14ac:dyDescent="0.3">
      <c r="B37" t="s">
        <v>39</v>
      </c>
      <c r="C37">
        <v>690</v>
      </c>
      <c r="D37">
        <v>770</v>
      </c>
      <c r="E37">
        <v>630</v>
      </c>
      <c r="F37">
        <v>710</v>
      </c>
      <c r="J37" s="158">
        <v>28</v>
      </c>
    </row>
    <row r="38" spans="2:11" customFormat="1" ht="15.75" thickBot="1" x14ac:dyDescent="0.3">
      <c r="J38" s="158">
        <v>32</v>
      </c>
    </row>
    <row r="39" spans="2:11" customFormat="1" x14ac:dyDescent="0.25">
      <c r="J39" s="159">
        <v>40</v>
      </c>
    </row>
    <row r="40" spans="2:11" customFormat="1" x14ac:dyDescent="0.25"/>
    <row r="41" spans="2:11" s="9" customFormat="1" x14ac:dyDescent="0.25">
      <c r="B41" s="9" t="s">
        <v>40</v>
      </c>
      <c r="H41" s="9" t="s">
        <v>73</v>
      </c>
      <c r="K41" s="9" t="s">
        <v>562</v>
      </c>
    </row>
    <row r="42" spans="2:11" customFormat="1" x14ac:dyDescent="0.25"/>
    <row r="43" spans="2:11" customFormat="1" x14ac:dyDescent="0.25">
      <c r="B43" t="s">
        <v>41</v>
      </c>
      <c r="C43" t="s">
        <v>42</v>
      </c>
      <c r="H43" t="s">
        <v>303</v>
      </c>
      <c r="I43" t="s">
        <v>302</v>
      </c>
    </row>
    <row r="44" spans="2:11" customFormat="1" x14ac:dyDescent="0.25">
      <c r="B44">
        <v>0</v>
      </c>
      <c r="C44" t="s">
        <v>49</v>
      </c>
      <c r="H44" s="6" t="s">
        <v>97</v>
      </c>
      <c r="I44" s="10" t="s">
        <v>74</v>
      </c>
    </row>
    <row r="45" spans="2:11" customFormat="1" x14ac:dyDescent="0.25">
      <c r="B45" t="s">
        <v>43</v>
      </c>
      <c r="C45" t="s">
        <v>50</v>
      </c>
      <c r="H45" s="6" t="s">
        <v>98</v>
      </c>
      <c r="I45" s="10" t="s">
        <v>75</v>
      </c>
    </row>
    <row r="46" spans="2:11" customFormat="1" x14ac:dyDescent="0.25">
      <c r="B46" t="s">
        <v>44</v>
      </c>
      <c r="C46" t="s">
        <v>51</v>
      </c>
      <c r="H46" s="6" t="s">
        <v>99</v>
      </c>
      <c r="I46" s="10" t="s">
        <v>76</v>
      </c>
    </row>
    <row r="47" spans="2:11" customFormat="1" x14ac:dyDescent="0.25">
      <c r="B47" t="s">
        <v>45</v>
      </c>
      <c r="C47" t="s">
        <v>52</v>
      </c>
      <c r="H47" s="6" t="s">
        <v>100</v>
      </c>
      <c r="I47" s="10" t="s">
        <v>77</v>
      </c>
    </row>
    <row r="48" spans="2:11" customFormat="1" x14ac:dyDescent="0.25">
      <c r="B48" t="s">
        <v>46</v>
      </c>
      <c r="C48" t="s">
        <v>53</v>
      </c>
      <c r="H48" s="6" t="s">
        <v>101</v>
      </c>
      <c r="I48" s="10" t="s">
        <v>78</v>
      </c>
    </row>
    <row r="49" spans="2:9" customFormat="1" x14ac:dyDescent="0.25">
      <c r="B49" t="s">
        <v>47</v>
      </c>
      <c r="C49" t="s">
        <v>54</v>
      </c>
      <c r="H49" s="6" t="s">
        <v>102</v>
      </c>
      <c r="I49" s="10" t="s">
        <v>79</v>
      </c>
    </row>
    <row r="50" spans="2:9" customFormat="1" x14ac:dyDescent="0.25">
      <c r="B50" t="s">
        <v>48</v>
      </c>
      <c r="C50" t="s">
        <v>55</v>
      </c>
      <c r="H50" s="6" t="s">
        <v>103</v>
      </c>
      <c r="I50" s="10" t="s">
        <v>80</v>
      </c>
    </row>
    <row r="51" spans="2:9" customFormat="1" x14ac:dyDescent="0.25">
      <c r="C51" t="s">
        <v>56</v>
      </c>
      <c r="H51" s="6" t="s">
        <v>104</v>
      </c>
      <c r="I51" s="10" t="s">
        <v>81</v>
      </c>
    </row>
    <row r="52" spans="2:9" customFormat="1" x14ac:dyDescent="0.25">
      <c r="C52" t="s">
        <v>57</v>
      </c>
      <c r="H52" s="6" t="s">
        <v>105</v>
      </c>
      <c r="I52" s="10" t="s">
        <v>82</v>
      </c>
    </row>
    <row r="53" spans="2:9" customFormat="1" x14ac:dyDescent="0.25">
      <c r="C53" t="s">
        <v>58</v>
      </c>
      <c r="H53" s="6" t="s">
        <v>106</v>
      </c>
      <c r="I53" s="10" t="s">
        <v>83</v>
      </c>
    </row>
    <row r="54" spans="2:9" customFormat="1" x14ac:dyDescent="0.25">
      <c r="C54" t="s">
        <v>59</v>
      </c>
      <c r="H54" s="6" t="s">
        <v>107</v>
      </c>
      <c r="I54" s="10" t="s">
        <v>84</v>
      </c>
    </row>
    <row r="55" spans="2:9" customFormat="1" x14ac:dyDescent="0.25">
      <c r="C55" t="s">
        <v>60</v>
      </c>
      <c r="H55" s="6" t="s">
        <v>108</v>
      </c>
      <c r="I55" s="10" t="s">
        <v>85</v>
      </c>
    </row>
    <row r="56" spans="2:9" customFormat="1" x14ac:dyDescent="0.25">
      <c r="C56" t="s">
        <v>61</v>
      </c>
      <c r="H56" s="6" t="s">
        <v>109</v>
      </c>
      <c r="I56" s="10" t="s">
        <v>86</v>
      </c>
    </row>
    <row r="57" spans="2:9" customFormat="1" x14ac:dyDescent="0.25">
      <c r="C57" t="s">
        <v>62</v>
      </c>
      <c r="H57" s="6" t="s">
        <v>110</v>
      </c>
      <c r="I57" s="10" t="s">
        <v>87</v>
      </c>
    </row>
    <row r="58" spans="2:9" customFormat="1" x14ac:dyDescent="0.25">
      <c r="C58" s="155" t="s">
        <v>770</v>
      </c>
      <c r="H58" s="6" t="s">
        <v>111</v>
      </c>
      <c r="I58" s="10" t="s">
        <v>88</v>
      </c>
    </row>
    <row r="59" spans="2:9" customFormat="1" x14ac:dyDescent="0.25">
      <c r="C59" t="s">
        <v>63</v>
      </c>
      <c r="H59" s="6" t="s">
        <v>112</v>
      </c>
      <c r="I59" s="10" t="s">
        <v>89</v>
      </c>
    </row>
    <row r="60" spans="2:9" customFormat="1" x14ac:dyDescent="0.25">
      <c r="C60" t="s">
        <v>64</v>
      </c>
      <c r="H60" s="6" t="s">
        <v>113</v>
      </c>
      <c r="I60" s="10" t="s">
        <v>90</v>
      </c>
    </row>
    <row r="61" spans="2:9" customFormat="1" x14ac:dyDescent="0.25">
      <c r="C61" t="s">
        <v>65</v>
      </c>
      <c r="H61" s="6" t="s">
        <v>114</v>
      </c>
      <c r="I61" s="10" t="s">
        <v>91</v>
      </c>
    </row>
    <row r="62" spans="2:9" customFormat="1" x14ac:dyDescent="0.25">
      <c r="C62" t="s">
        <v>66</v>
      </c>
      <c r="H62" s="6" t="s">
        <v>115</v>
      </c>
      <c r="I62" s="10" t="s">
        <v>92</v>
      </c>
    </row>
    <row r="63" spans="2:9" customFormat="1" x14ac:dyDescent="0.25">
      <c r="C63" t="s">
        <v>67</v>
      </c>
      <c r="H63" s="6" t="s">
        <v>116</v>
      </c>
      <c r="I63" s="10" t="s">
        <v>93</v>
      </c>
    </row>
    <row r="64" spans="2:9" customFormat="1" x14ac:dyDescent="0.25">
      <c r="C64" t="s">
        <v>68</v>
      </c>
      <c r="H64" s="6" t="s">
        <v>117</v>
      </c>
      <c r="I64" s="10" t="s">
        <v>94</v>
      </c>
    </row>
    <row r="65" spans="3:9" customFormat="1" x14ac:dyDescent="0.25">
      <c r="C65" t="s">
        <v>69</v>
      </c>
      <c r="H65" s="6" t="s">
        <v>118</v>
      </c>
      <c r="I65" s="10" t="s">
        <v>95</v>
      </c>
    </row>
    <row r="66" spans="3:9" customFormat="1" x14ac:dyDescent="0.25">
      <c r="C66" t="s">
        <v>70</v>
      </c>
      <c r="H66" s="11" t="s">
        <v>119</v>
      </c>
      <c r="I66" s="10" t="s">
        <v>96</v>
      </c>
    </row>
    <row r="67" spans="3:9" customFormat="1" x14ac:dyDescent="0.25">
      <c r="C67" t="s">
        <v>71</v>
      </c>
    </row>
    <row r="68" spans="3:9" customFormat="1" x14ac:dyDescent="0.25">
      <c r="C68" t="s">
        <v>72</v>
      </c>
    </row>
    <row r="69" spans="3:9" customFormat="1" x14ac:dyDescent="0.25">
      <c r="C69" t="s">
        <v>771</v>
      </c>
    </row>
    <row r="70" spans="3:9" customFormat="1" x14ac:dyDescent="0.25">
      <c r="C70" t="s">
        <v>772</v>
      </c>
    </row>
    <row r="71" spans="3:9" customFormat="1" x14ac:dyDescent="0.25">
      <c r="C71" s="160" t="s">
        <v>773</v>
      </c>
    </row>
    <row r="72" spans="3:9" customFormat="1" x14ac:dyDescent="0.25">
      <c r="C72" s="160" t="s">
        <v>774</v>
      </c>
    </row>
    <row r="73" spans="3:9" customFormat="1" x14ac:dyDescent="0.25"/>
    <row r="74" spans="3:9" customFormat="1" x14ac:dyDescent="0.25"/>
    <row r="75" spans="3:9" customFormat="1" x14ac:dyDescent="0.25"/>
    <row r="76" spans="3:9" customFormat="1" x14ac:dyDescent="0.25"/>
    <row r="77" spans="3:9" customFormat="1" x14ac:dyDescent="0.25"/>
    <row r="78" spans="3:9" customFormat="1" x14ac:dyDescent="0.25"/>
    <row r="79" spans="3:9" customFormat="1" x14ac:dyDescent="0.25"/>
    <row r="80" spans="3:9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spans="2:23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2:23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2:23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2:23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2:23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2:23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2:23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2:23" s="9" customFormat="1" x14ac:dyDescent="0.25">
      <c r="B120" s="9" t="s">
        <v>561</v>
      </c>
    </row>
    <row r="121" spans="2:23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2:23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2:23" ht="19.5" x14ac:dyDescent="0.35">
      <c r="B123" s="12" t="s">
        <v>556</v>
      </c>
      <c r="C123" s="13" t="s">
        <v>304</v>
      </c>
      <c r="D123" s="14" t="s">
        <v>250</v>
      </c>
      <c r="E123" s="14" t="s">
        <v>129</v>
      </c>
      <c r="F123" s="14" t="s">
        <v>569</v>
      </c>
      <c r="G123" s="14" t="s">
        <v>570</v>
      </c>
      <c r="H123" s="15" t="s">
        <v>195</v>
      </c>
      <c r="I123" s="15" t="s">
        <v>305</v>
      </c>
      <c r="J123" s="14" t="s">
        <v>571</v>
      </c>
      <c r="K123" s="14" t="s">
        <v>306</v>
      </c>
      <c r="L123" s="14" t="s">
        <v>572</v>
      </c>
      <c r="M123" s="14" t="s">
        <v>573</v>
      </c>
      <c r="N123" s="14" t="s">
        <v>574</v>
      </c>
      <c r="O123" s="14" t="s">
        <v>557</v>
      </c>
      <c r="P123" s="15" t="s">
        <v>575</v>
      </c>
      <c r="Q123" s="14" t="s">
        <v>576</v>
      </c>
      <c r="R123" s="14" t="s">
        <v>577</v>
      </c>
      <c r="S123" s="14" t="s">
        <v>578</v>
      </c>
      <c r="T123" s="15" t="s">
        <v>579</v>
      </c>
      <c r="U123" s="14" t="s">
        <v>580</v>
      </c>
      <c r="V123" s="14" t="s">
        <v>581</v>
      </c>
      <c r="W123" s="16" t="s">
        <v>582</v>
      </c>
    </row>
    <row r="124" spans="2:23" x14ac:dyDescent="0.25">
      <c r="B124" s="24" t="s">
        <v>307</v>
      </c>
      <c r="C124" s="25">
        <v>137</v>
      </c>
      <c r="D124" s="26">
        <v>753</v>
      </c>
      <c r="E124" s="27">
        <v>263</v>
      </c>
      <c r="F124" s="28">
        <v>11.5</v>
      </c>
      <c r="G124" s="28">
        <v>17</v>
      </c>
      <c r="H124" s="29">
        <v>17</v>
      </c>
      <c r="I124" s="30">
        <v>17500</v>
      </c>
      <c r="J124" s="28">
        <v>719</v>
      </c>
      <c r="K124" s="28">
        <v>685</v>
      </c>
      <c r="L124" s="31">
        <v>1599000000</v>
      </c>
      <c r="M124" s="31">
        <v>4246000</v>
      </c>
      <c r="N124" s="31">
        <v>4865000</v>
      </c>
      <c r="O124" s="30">
        <v>302.60000000000002</v>
      </c>
      <c r="P124" s="30">
        <v>9290</v>
      </c>
      <c r="Q124" s="31">
        <v>51660000</v>
      </c>
      <c r="R124" s="31">
        <v>392800</v>
      </c>
      <c r="S124" s="31">
        <v>614100</v>
      </c>
      <c r="T124" s="30">
        <v>54.400000000000006</v>
      </c>
      <c r="U124" s="28">
        <v>65.42</v>
      </c>
      <c r="V124" s="31">
        <v>1371000</v>
      </c>
      <c r="W124" s="31">
        <v>6980000000000</v>
      </c>
    </row>
    <row r="125" spans="2:23" x14ac:dyDescent="0.25">
      <c r="B125" s="24" t="s">
        <v>308</v>
      </c>
      <c r="C125" s="32">
        <v>249</v>
      </c>
      <c r="D125" s="26">
        <v>980</v>
      </c>
      <c r="E125" s="33">
        <v>300</v>
      </c>
      <c r="F125" s="28">
        <v>16.5</v>
      </c>
      <c r="G125" s="28">
        <v>26</v>
      </c>
      <c r="H125" s="29">
        <v>30</v>
      </c>
      <c r="I125" s="30">
        <v>31680</v>
      </c>
      <c r="J125" s="28">
        <v>928</v>
      </c>
      <c r="K125" s="28">
        <v>868</v>
      </c>
      <c r="L125" s="31">
        <v>4811000000</v>
      </c>
      <c r="M125" s="31">
        <v>9818000</v>
      </c>
      <c r="N125" s="31">
        <v>11350000</v>
      </c>
      <c r="O125" s="30">
        <v>389.7</v>
      </c>
      <c r="P125" s="30">
        <v>18070</v>
      </c>
      <c r="Q125" s="31">
        <v>117500000</v>
      </c>
      <c r="R125" s="31">
        <v>784000</v>
      </c>
      <c r="S125" s="31">
        <v>1245000</v>
      </c>
      <c r="T125" s="30">
        <v>60.9</v>
      </c>
      <c r="U125" s="34">
        <v>103.6</v>
      </c>
      <c r="V125" s="31">
        <v>5844000</v>
      </c>
      <c r="W125" s="31">
        <v>26620000000000</v>
      </c>
    </row>
    <row r="126" spans="2:23" x14ac:dyDescent="0.25">
      <c r="B126" s="24" t="s">
        <v>309</v>
      </c>
      <c r="C126" s="32">
        <v>393</v>
      </c>
      <c r="D126" s="33">
        <v>1016</v>
      </c>
      <c r="E126" s="33">
        <v>303</v>
      </c>
      <c r="F126" s="28">
        <v>24.4</v>
      </c>
      <c r="G126" s="28">
        <v>43.9</v>
      </c>
      <c r="H126" s="29">
        <v>30</v>
      </c>
      <c r="I126" s="30">
        <v>50020</v>
      </c>
      <c r="J126" s="28">
        <v>928</v>
      </c>
      <c r="K126" s="28">
        <v>868</v>
      </c>
      <c r="L126" s="31">
        <v>8077000000</v>
      </c>
      <c r="M126" s="31">
        <v>15900000</v>
      </c>
      <c r="N126" s="31">
        <v>18540000</v>
      </c>
      <c r="O126" s="30">
        <v>401.8</v>
      </c>
      <c r="P126" s="30">
        <v>27130</v>
      </c>
      <c r="Q126" s="31">
        <v>205000000</v>
      </c>
      <c r="R126" s="31">
        <v>1353000</v>
      </c>
      <c r="S126" s="31">
        <v>2168000</v>
      </c>
      <c r="T126" s="30">
        <v>64</v>
      </c>
      <c r="U126" s="34">
        <v>147.30000000000001</v>
      </c>
      <c r="V126" s="31">
        <v>23320000</v>
      </c>
      <c r="W126" s="31">
        <v>48080000000000</v>
      </c>
    </row>
    <row r="127" spans="2:23" x14ac:dyDescent="0.25">
      <c r="B127" s="24" t="s">
        <v>310</v>
      </c>
      <c r="C127" s="32">
        <v>415</v>
      </c>
      <c r="D127" s="33">
        <v>1020</v>
      </c>
      <c r="E127" s="33">
        <v>304</v>
      </c>
      <c r="F127" s="28">
        <v>26</v>
      </c>
      <c r="G127" s="28">
        <v>46</v>
      </c>
      <c r="H127" s="29">
        <v>30</v>
      </c>
      <c r="I127" s="30">
        <v>52870.000000000007</v>
      </c>
      <c r="J127" s="28">
        <v>928</v>
      </c>
      <c r="K127" s="28">
        <v>868</v>
      </c>
      <c r="L127" s="31">
        <v>8531000000</v>
      </c>
      <c r="M127" s="31">
        <v>16728000</v>
      </c>
      <c r="N127" s="31">
        <v>19571000</v>
      </c>
      <c r="O127" s="30">
        <v>401.70000000000005</v>
      </c>
      <c r="P127" s="30">
        <v>28860.000000000004</v>
      </c>
      <c r="Q127" s="31">
        <v>217100000</v>
      </c>
      <c r="R127" s="31">
        <v>1428000</v>
      </c>
      <c r="S127" s="31">
        <v>2298000</v>
      </c>
      <c r="T127" s="30">
        <v>64.099999999999994</v>
      </c>
      <c r="U127" s="34">
        <v>153.1</v>
      </c>
      <c r="V127" s="31">
        <v>27130000</v>
      </c>
      <c r="W127" s="31">
        <v>51080000000000</v>
      </c>
    </row>
    <row r="128" spans="2:23" x14ac:dyDescent="0.25">
      <c r="B128" s="35" t="s">
        <v>311</v>
      </c>
      <c r="C128" s="25">
        <v>438</v>
      </c>
      <c r="D128" s="36">
        <v>1026</v>
      </c>
      <c r="E128" s="37">
        <v>305</v>
      </c>
      <c r="F128" s="38">
        <v>26.9</v>
      </c>
      <c r="G128" s="38">
        <v>49</v>
      </c>
      <c r="H128" s="39">
        <v>30</v>
      </c>
      <c r="I128" s="30">
        <v>55600</v>
      </c>
      <c r="J128" s="28">
        <v>928</v>
      </c>
      <c r="K128" s="28">
        <v>868</v>
      </c>
      <c r="L128" s="31">
        <v>9092000000</v>
      </c>
      <c r="M128" s="31">
        <v>17720000</v>
      </c>
      <c r="N128" s="31">
        <v>20750000</v>
      </c>
      <c r="O128" s="30">
        <v>404.3</v>
      </c>
      <c r="P128" s="30">
        <v>29989.999999999996</v>
      </c>
      <c r="Q128" s="31">
        <v>233600000</v>
      </c>
      <c r="R128" s="31">
        <v>1531000</v>
      </c>
      <c r="S128" s="31">
        <v>2463000</v>
      </c>
      <c r="T128" s="30">
        <v>64.800000000000011</v>
      </c>
      <c r="U128" s="28">
        <v>160</v>
      </c>
      <c r="V128" s="31">
        <v>31900000</v>
      </c>
      <c r="W128" s="31">
        <v>55290000000000</v>
      </c>
    </row>
    <row r="129" spans="2:23" x14ac:dyDescent="0.25">
      <c r="B129" s="35" t="s">
        <v>312</v>
      </c>
      <c r="C129" s="32">
        <v>494</v>
      </c>
      <c r="D129" s="40">
        <v>1036</v>
      </c>
      <c r="E129" s="41">
        <v>309</v>
      </c>
      <c r="F129" s="38">
        <v>31</v>
      </c>
      <c r="G129" s="38">
        <v>54</v>
      </c>
      <c r="H129" s="39">
        <v>30</v>
      </c>
      <c r="I129" s="30">
        <v>62910</v>
      </c>
      <c r="J129" s="28">
        <v>928</v>
      </c>
      <c r="K129" s="28">
        <v>868</v>
      </c>
      <c r="L129" s="31">
        <v>10280000000</v>
      </c>
      <c r="M129" s="31">
        <v>19845000</v>
      </c>
      <c r="N129" s="31">
        <v>23413000</v>
      </c>
      <c r="O129" s="30">
        <v>404.20000000000005</v>
      </c>
      <c r="P129" s="30">
        <v>34450</v>
      </c>
      <c r="Q129" s="31">
        <v>268200000</v>
      </c>
      <c r="R129" s="31">
        <v>1736000</v>
      </c>
      <c r="S129" s="31">
        <v>2818000</v>
      </c>
      <c r="T129" s="30">
        <v>65.3</v>
      </c>
      <c r="U129" s="34">
        <v>174.1</v>
      </c>
      <c r="V129" s="31">
        <v>44330000</v>
      </c>
      <c r="W129" s="31">
        <v>64010000000000</v>
      </c>
    </row>
    <row r="130" spans="2:23" x14ac:dyDescent="0.25">
      <c r="B130" s="24" t="s">
        <v>313</v>
      </c>
      <c r="C130" s="25">
        <v>584</v>
      </c>
      <c r="D130" s="27">
        <v>1056</v>
      </c>
      <c r="E130" s="27">
        <v>314</v>
      </c>
      <c r="F130" s="28">
        <v>36</v>
      </c>
      <c r="G130" s="28">
        <v>64</v>
      </c>
      <c r="H130" s="29">
        <v>30</v>
      </c>
      <c r="I130" s="30">
        <v>74370</v>
      </c>
      <c r="J130" s="28">
        <v>928</v>
      </c>
      <c r="K130" s="28">
        <v>868</v>
      </c>
      <c r="L130" s="31">
        <v>12461000000</v>
      </c>
      <c r="M130" s="31">
        <v>23600000</v>
      </c>
      <c r="N130" s="31">
        <v>28039000</v>
      </c>
      <c r="O130" s="30">
        <v>409.3</v>
      </c>
      <c r="P130" s="30">
        <v>40320</v>
      </c>
      <c r="Q130" s="31">
        <v>334300000</v>
      </c>
      <c r="R130" s="31">
        <v>2130000</v>
      </c>
      <c r="S130" s="31">
        <v>3475000</v>
      </c>
      <c r="T130" s="30">
        <v>67</v>
      </c>
      <c r="U130" s="28">
        <v>199.1</v>
      </c>
      <c r="V130" s="31">
        <v>72300000</v>
      </c>
      <c r="W130" s="31">
        <v>81240000000000</v>
      </c>
    </row>
    <row r="131" spans="2:23" x14ac:dyDescent="0.25">
      <c r="B131" s="35" t="s">
        <v>314</v>
      </c>
      <c r="C131" s="32">
        <v>337</v>
      </c>
      <c r="D131" s="40">
        <v>632</v>
      </c>
      <c r="E131" s="41">
        <v>310</v>
      </c>
      <c r="F131" s="38">
        <v>25.5</v>
      </c>
      <c r="G131" s="38">
        <v>46</v>
      </c>
      <c r="H131" s="39">
        <v>27</v>
      </c>
      <c r="I131" s="30">
        <v>42920</v>
      </c>
      <c r="J131" s="28">
        <v>540</v>
      </c>
      <c r="K131" s="28">
        <v>486</v>
      </c>
      <c r="L131" s="31">
        <v>2832000000</v>
      </c>
      <c r="M131" s="31">
        <v>8961000</v>
      </c>
      <c r="N131" s="31">
        <v>10380000</v>
      </c>
      <c r="O131" s="30">
        <v>256.90000000000003</v>
      </c>
      <c r="P131" s="30">
        <v>18050</v>
      </c>
      <c r="Q131" s="31">
        <v>229400000</v>
      </c>
      <c r="R131" s="31">
        <v>1480000</v>
      </c>
      <c r="S131" s="31">
        <v>2310000</v>
      </c>
      <c r="T131" s="30">
        <v>73.099999999999994</v>
      </c>
      <c r="U131" s="34">
        <v>149.1</v>
      </c>
      <c r="V131" s="31">
        <v>24510000</v>
      </c>
      <c r="W131" s="31">
        <v>19610000000000</v>
      </c>
    </row>
    <row r="132" spans="2:23" x14ac:dyDescent="0.25">
      <c r="B132" s="35" t="s">
        <v>315</v>
      </c>
      <c r="C132" s="32">
        <v>399</v>
      </c>
      <c r="D132" s="40">
        <v>648</v>
      </c>
      <c r="E132" s="41">
        <v>315</v>
      </c>
      <c r="F132" s="38">
        <v>30</v>
      </c>
      <c r="G132" s="38">
        <v>54</v>
      </c>
      <c r="H132" s="39">
        <v>27</v>
      </c>
      <c r="I132" s="30">
        <v>50850</v>
      </c>
      <c r="J132" s="28">
        <v>540</v>
      </c>
      <c r="K132" s="28">
        <v>486</v>
      </c>
      <c r="L132" s="31">
        <v>3446000000</v>
      </c>
      <c r="M132" s="31">
        <v>10640000</v>
      </c>
      <c r="N132" s="31">
        <v>12460000</v>
      </c>
      <c r="O132" s="30">
        <v>260.3</v>
      </c>
      <c r="P132" s="30">
        <v>21360</v>
      </c>
      <c r="Q132" s="31">
        <v>282800000</v>
      </c>
      <c r="R132" s="31">
        <v>1796000</v>
      </c>
      <c r="S132" s="31">
        <v>2814000</v>
      </c>
      <c r="T132" s="30">
        <v>74.599999999999994</v>
      </c>
      <c r="U132" s="34">
        <v>169.6</v>
      </c>
      <c r="V132" s="31">
        <v>39660000</v>
      </c>
      <c r="W132" s="31">
        <v>24810000000000</v>
      </c>
    </row>
    <row r="133" spans="2:23" x14ac:dyDescent="0.25">
      <c r="B133" s="24" t="s">
        <v>316</v>
      </c>
      <c r="C133" s="25">
        <v>343</v>
      </c>
      <c r="D133" s="27">
        <v>680</v>
      </c>
      <c r="E133" s="27">
        <v>309</v>
      </c>
      <c r="F133" s="28">
        <v>25</v>
      </c>
      <c r="G133" s="28">
        <v>46</v>
      </c>
      <c r="H133" s="29">
        <v>27</v>
      </c>
      <c r="I133" s="30">
        <v>43750</v>
      </c>
      <c r="J133" s="28">
        <v>588</v>
      </c>
      <c r="K133" s="28">
        <v>534</v>
      </c>
      <c r="L133" s="31">
        <v>3337000000</v>
      </c>
      <c r="M133" s="31">
        <v>9815000</v>
      </c>
      <c r="N133" s="31">
        <v>11350000</v>
      </c>
      <c r="O133" s="30">
        <v>276.2</v>
      </c>
      <c r="P133" s="30">
        <v>18960</v>
      </c>
      <c r="Q133" s="31">
        <v>227200000</v>
      </c>
      <c r="R133" s="31">
        <v>1470000</v>
      </c>
      <c r="S133" s="31">
        <v>2300000</v>
      </c>
      <c r="T133" s="30">
        <v>72.099999999999994</v>
      </c>
      <c r="U133" s="28">
        <v>148.6</v>
      </c>
      <c r="V133" s="31">
        <v>24420000</v>
      </c>
      <c r="W133" s="31">
        <v>22730000000000</v>
      </c>
    </row>
    <row r="134" spans="2:23" x14ac:dyDescent="0.25">
      <c r="B134" s="35" t="s">
        <v>317</v>
      </c>
      <c r="C134" s="25">
        <v>407</v>
      </c>
      <c r="D134" s="36">
        <v>696</v>
      </c>
      <c r="E134" s="37">
        <v>314</v>
      </c>
      <c r="F134" s="38">
        <v>29.5</v>
      </c>
      <c r="G134" s="38">
        <v>54</v>
      </c>
      <c r="H134" s="39">
        <v>27</v>
      </c>
      <c r="I134" s="30">
        <v>51879.999999999993</v>
      </c>
      <c r="J134" s="28">
        <v>588</v>
      </c>
      <c r="K134" s="28">
        <v>534</v>
      </c>
      <c r="L134" s="31">
        <v>4054000000</v>
      </c>
      <c r="M134" s="31">
        <v>11650000</v>
      </c>
      <c r="N134" s="31">
        <v>13620000</v>
      </c>
      <c r="O134" s="30">
        <v>279.5</v>
      </c>
      <c r="P134" s="30">
        <v>22480</v>
      </c>
      <c r="Q134" s="31">
        <v>280200000</v>
      </c>
      <c r="R134" s="31">
        <v>1785000</v>
      </c>
      <c r="S134" s="31">
        <v>2803000</v>
      </c>
      <c r="T134" s="30">
        <v>73.5</v>
      </c>
      <c r="U134" s="28">
        <v>169.1</v>
      </c>
      <c r="V134" s="31">
        <v>39580000</v>
      </c>
      <c r="W134" s="31">
        <v>28710000000000</v>
      </c>
    </row>
    <row r="135" spans="2:23" x14ac:dyDescent="0.25">
      <c r="B135" s="35" t="s">
        <v>318</v>
      </c>
      <c r="C135" s="25">
        <v>352</v>
      </c>
      <c r="D135" s="40">
        <v>728</v>
      </c>
      <c r="E135" s="41">
        <v>308</v>
      </c>
      <c r="F135" s="38">
        <v>25</v>
      </c>
      <c r="G135" s="38">
        <v>46</v>
      </c>
      <c r="H135" s="39">
        <v>27</v>
      </c>
      <c r="I135" s="30">
        <v>44860</v>
      </c>
      <c r="J135" s="28">
        <v>636</v>
      </c>
      <c r="K135" s="28">
        <v>582</v>
      </c>
      <c r="L135" s="31">
        <v>3897000000</v>
      </c>
      <c r="M135" s="31">
        <v>10710000</v>
      </c>
      <c r="N135" s="31">
        <v>12390000</v>
      </c>
      <c r="O135" s="30">
        <v>294.7</v>
      </c>
      <c r="P135" s="30">
        <v>20160</v>
      </c>
      <c r="Q135" s="31">
        <v>225100000</v>
      </c>
      <c r="R135" s="31">
        <v>1461000</v>
      </c>
      <c r="S135" s="31">
        <v>2293000</v>
      </c>
      <c r="T135" s="30">
        <v>70.8</v>
      </c>
      <c r="U135" s="34">
        <v>148.6</v>
      </c>
      <c r="V135" s="31">
        <v>24610000</v>
      </c>
      <c r="W135" s="31">
        <v>26050000000000</v>
      </c>
    </row>
    <row r="136" spans="2:23" x14ac:dyDescent="0.25">
      <c r="B136" s="24" t="s">
        <v>319</v>
      </c>
      <c r="C136" s="32">
        <v>418</v>
      </c>
      <c r="D136" s="33">
        <v>744</v>
      </c>
      <c r="E136" s="33">
        <v>313</v>
      </c>
      <c r="F136" s="28">
        <v>29.5</v>
      </c>
      <c r="G136" s="28">
        <v>54</v>
      </c>
      <c r="H136" s="29">
        <v>27</v>
      </c>
      <c r="I136" s="30">
        <v>53190</v>
      </c>
      <c r="J136" s="28">
        <v>636</v>
      </c>
      <c r="K136" s="28">
        <v>582</v>
      </c>
      <c r="L136" s="31">
        <v>4725000000</v>
      </c>
      <c r="M136" s="31">
        <v>12700000</v>
      </c>
      <c r="N136" s="31">
        <v>14840000</v>
      </c>
      <c r="O136" s="30">
        <v>298</v>
      </c>
      <c r="P136" s="30">
        <v>23900</v>
      </c>
      <c r="Q136" s="31">
        <v>277600000</v>
      </c>
      <c r="R136" s="31">
        <v>1774000</v>
      </c>
      <c r="S136" s="31">
        <v>2797000</v>
      </c>
      <c r="T136" s="30">
        <v>72.2</v>
      </c>
      <c r="U136" s="34">
        <v>169.1</v>
      </c>
      <c r="V136" s="31">
        <v>39890000</v>
      </c>
      <c r="W136" s="31">
        <v>32850000000000</v>
      </c>
    </row>
    <row r="137" spans="2:23" x14ac:dyDescent="0.25">
      <c r="B137" s="35" t="s">
        <v>320</v>
      </c>
      <c r="C137" s="32">
        <v>373</v>
      </c>
      <c r="D137" s="40">
        <v>826</v>
      </c>
      <c r="E137" s="41">
        <v>308</v>
      </c>
      <c r="F137" s="38">
        <v>25</v>
      </c>
      <c r="G137" s="38">
        <v>46</v>
      </c>
      <c r="H137" s="39">
        <v>30</v>
      </c>
      <c r="I137" s="30">
        <v>47460</v>
      </c>
      <c r="J137" s="28">
        <v>734</v>
      </c>
      <c r="K137" s="28">
        <v>674</v>
      </c>
      <c r="L137" s="31">
        <v>5239000000</v>
      </c>
      <c r="M137" s="31">
        <v>12690000</v>
      </c>
      <c r="N137" s="31">
        <v>14700000</v>
      </c>
      <c r="O137" s="30">
        <v>332.29999999999995</v>
      </c>
      <c r="P137" s="30">
        <v>23030</v>
      </c>
      <c r="Q137" s="31">
        <v>225300000</v>
      </c>
      <c r="R137" s="31">
        <v>1463000</v>
      </c>
      <c r="S137" s="31">
        <v>2311000</v>
      </c>
      <c r="T137" s="30">
        <v>68.899999999999991</v>
      </c>
      <c r="U137" s="34">
        <v>152.1</v>
      </c>
      <c r="V137" s="31">
        <v>25540000</v>
      </c>
      <c r="W137" s="31">
        <v>34070000000000</v>
      </c>
    </row>
    <row r="138" spans="2:23" x14ac:dyDescent="0.25">
      <c r="B138" s="35" t="s">
        <v>321</v>
      </c>
      <c r="C138" s="32">
        <v>444</v>
      </c>
      <c r="D138" s="40">
        <v>842</v>
      </c>
      <c r="E138" s="41">
        <v>313</v>
      </c>
      <c r="F138" s="38">
        <v>30</v>
      </c>
      <c r="G138" s="38">
        <v>54</v>
      </c>
      <c r="H138" s="39">
        <v>30</v>
      </c>
      <c r="I138" s="30">
        <v>56600</v>
      </c>
      <c r="J138" s="28">
        <v>734</v>
      </c>
      <c r="K138" s="28">
        <v>674</v>
      </c>
      <c r="L138" s="31">
        <v>6345000000</v>
      </c>
      <c r="M138" s="31">
        <v>15070000</v>
      </c>
      <c r="N138" s="31">
        <v>17640000</v>
      </c>
      <c r="O138" s="30">
        <v>334.79999999999995</v>
      </c>
      <c r="P138" s="30">
        <v>27650</v>
      </c>
      <c r="Q138" s="31">
        <v>278000000</v>
      </c>
      <c r="R138" s="31">
        <v>1776000</v>
      </c>
      <c r="S138" s="31">
        <v>2827000</v>
      </c>
      <c r="T138" s="30">
        <v>70.099999999999994</v>
      </c>
      <c r="U138" s="34">
        <v>173.1</v>
      </c>
      <c r="V138" s="31">
        <v>41800000</v>
      </c>
      <c r="W138" s="31">
        <v>42840000000000</v>
      </c>
    </row>
    <row r="139" spans="2:23" x14ac:dyDescent="0.25">
      <c r="B139" s="24" t="s">
        <v>322</v>
      </c>
      <c r="C139" s="25">
        <v>391</v>
      </c>
      <c r="D139" s="42">
        <v>922</v>
      </c>
      <c r="E139" s="43">
        <v>307</v>
      </c>
      <c r="F139" s="44">
        <v>25</v>
      </c>
      <c r="G139" s="44">
        <v>46</v>
      </c>
      <c r="H139" s="44">
        <v>30</v>
      </c>
      <c r="I139" s="30">
        <v>49770</v>
      </c>
      <c r="J139" s="45">
        <v>830</v>
      </c>
      <c r="K139" s="44">
        <v>770</v>
      </c>
      <c r="L139" s="31">
        <v>6743000000</v>
      </c>
      <c r="M139" s="31">
        <v>14630000</v>
      </c>
      <c r="N139" s="31">
        <v>16990000</v>
      </c>
      <c r="O139" s="30">
        <v>368.1</v>
      </c>
      <c r="P139" s="30">
        <v>25430</v>
      </c>
      <c r="Q139" s="31">
        <v>223200000</v>
      </c>
      <c r="R139" s="31">
        <v>1454000</v>
      </c>
      <c r="S139" s="31">
        <v>2312000</v>
      </c>
      <c r="T139" s="30">
        <v>67</v>
      </c>
      <c r="U139" s="45">
        <v>152.1</v>
      </c>
      <c r="V139" s="31">
        <v>25970000</v>
      </c>
      <c r="W139" s="31">
        <v>42560000000000</v>
      </c>
    </row>
    <row r="140" spans="2:23" x14ac:dyDescent="0.25">
      <c r="B140" s="35" t="s">
        <v>323</v>
      </c>
      <c r="C140" s="32">
        <v>466</v>
      </c>
      <c r="D140" s="40">
        <v>938</v>
      </c>
      <c r="E140" s="41">
        <v>312</v>
      </c>
      <c r="F140" s="38">
        <v>30</v>
      </c>
      <c r="G140" s="38">
        <v>54</v>
      </c>
      <c r="H140" s="39">
        <v>30</v>
      </c>
      <c r="I140" s="30">
        <v>59370.000000000007</v>
      </c>
      <c r="J140" s="28">
        <v>830</v>
      </c>
      <c r="K140" s="28">
        <v>770</v>
      </c>
      <c r="L140" s="31">
        <v>8149000000</v>
      </c>
      <c r="M140" s="31">
        <v>17380000</v>
      </c>
      <c r="N140" s="31">
        <v>20380000</v>
      </c>
      <c r="O140" s="30">
        <v>370.5</v>
      </c>
      <c r="P140" s="30">
        <v>30530</v>
      </c>
      <c r="Q140" s="31">
        <v>275600000</v>
      </c>
      <c r="R140" s="31">
        <v>1767000</v>
      </c>
      <c r="S140" s="31">
        <v>2832000</v>
      </c>
      <c r="T140" s="30">
        <v>68.099999999999994</v>
      </c>
      <c r="U140" s="34">
        <v>173.1</v>
      </c>
      <c r="V140" s="31">
        <v>42560000</v>
      </c>
      <c r="W140" s="31">
        <v>53400000000000</v>
      </c>
    </row>
    <row r="141" spans="2:23" x14ac:dyDescent="0.25">
      <c r="B141" s="35" t="s">
        <v>324</v>
      </c>
      <c r="C141" s="32" t="s">
        <v>325</v>
      </c>
      <c r="D141" s="40">
        <v>96</v>
      </c>
      <c r="E141" s="41">
        <v>100</v>
      </c>
      <c r="F141" s="38">
        <v>5</v>
      </c>
      <c r="G141" s="38">
        <v>8</v>
      </c>
      <c r="H141" s="39">
        <v>12</v>
      </c>
      <c r="I141" s="30">
        <v>2120</v>
      </c>
      <c r="J141" s="28">
        <v>80</v>
      </c>
      <c r="K141" s="28">
        <v>56</v>
      </c>
      <c r="L141" s="31">
        <v>3492000</v>
      </c>
      <c r="M141" s="31">
        <v>72760</v>
      </c>
      <c r="N141" s="31">
        <v>83010</v>
      </c>
      <c r="O141" s="30">
        <v>40.599999999999994</v>
      </c>
      <c r="P141" s="30">
        <v>756</v>
      </c>
      <c r="Q141" s="31">
        <v>1338000</v>
      </c>
      <c r="R141" s="31">
        <v>26760</v>
      </c>
      <c r="S141" s="31">
        <v>41140</v>
      </c>
      <c r="T141" s="30">
        <v>25.099999999999998</v>
      </c>
      <c r="U141" s="34">
        <v>35.06</v>
      </c>
      <c r="V141" s="31">
        <v>52400</v>
      </c>
      <c r="W141" s="31">
        <v>2580000000</v>
      </c>
    </row>
    <row r="142" spans="2:23" x14ac:dyDescent="0.25">
      <c r="B142" s="35" t="s">
        <v>326</v>
      </c>
      <c r="C142" s="32">
        <v>272</v>
      </c>
      <c r="D142" s="40">
        <v>990</v>
      </c>
      <c r="E142" s="41">
        <v>300</v>
      </c>
      <c r="F142" s="41">
        <v>16.5</v>
      </c>
      <c r="G142" s="41">
        <v>31</v>
      </c>
      <c r="H142" s="46">
        <v>30</v>
      </c>
      <c r="I142" s="30">
        <v>34680</v>
      </c>
      <c r="J142" s="33">
        <v>928</v>
      </c>
      <c r="K142" s="33">
        <v>868</v>
      </c>
      <c r="L142" s="31">
        <v>5538000000</v>
      </c>
      <c r="M142" s="31">
        <v>11190000</v>
      </c>
      <c r="N142" s="31">
        <v>12820000</v>
      </c>
      <c r="O142" s="30">
        <v>399.6</v>
      </c>
      <c r="P142" s="30">
        <v>18460</v>
      </c>
      <c r="Q142" s="31">
        <v>140000000</v>
      </c>
      <c r="R142" s="31">
        <v>933600</v>
      </c>
      <c r="S142" s="31">
        <v>1470000</v>
      </c>
      <c r="T142" s="30">
        <v>63.5</v>
      </c>
      <c r="U142" s="33">
        <v>113.6</v>
      </c>
      <c r="V142" s="31">
        <v>8224000</v>
      </c>
      <c r="W142" s="31">
        <v>32070000000000</v>
      </c>
    </row>
    <row r="143" spans="2:23" x14ac:dyDescent="0.25">
      <c r="B143" s="24" t="s">
        <v>327</v>
      </c>
      <c r="C143" s="25" t="s">
        <v>328</v>
      </c>
      <c r="D143" s="42">
        <v>114</v>
      </c>
      <c r="E143" s="43">
        <v>120</v>
      </c>
      <c r="F143" s="44">
        <v>5</v>
      </c>
      <c r="G143" s="44">
        <v>8</v>
      </c>
      <c r="H143" s="44">
        <v>12</v>
      </c>
      <c r="I143" s="30">
        <v>2530</v>
      </c>
      <c r="J143" s="45">
        <v>98</v>
      </c>
      <c r="K143" s="44">
        <v>74</v>
      </c>
      <c r="L143" s="31">
        <v>6062000</v>
      </c>
      <c r="M143" s="31">
        <v>106300</v>
      </c>
      <c r="N143" s="31">
        <v>119500</v>
      </c>
      <c r="O143" s="30">
        <v>48.9</v>
      </c>
      <c r="P143" s="30">
        <v>846.00000000000011</v>
      </c>
      <c r="Q143" s="31">
        <v>2309000</v>
      </c>
      <c r="R143" s="31">
        <v>38480</v>
      </c>
      <c r="S143" s="31">
        <v>58850</v>
      </c>
      <c r="T143" s="30">
        <v>30.2</v>
      </c>
      <c r="U143" s="45">
        <v>35.06</v>
      </c>
      <c r="V143" s="31">
        <v>59900</v>
      </c>
      <c r="W143" s="31">
        <v>6470000000</v>
      </c>
    </row>
    <row r="144" spans="2:23" x14ac:dyDescent="0.25">
      <c r="B144" s="35" t="s">
        <v>329</v>
      </c>
      <c r="C144" s="32" t="s">
        <v>330</v>
      </c>
      <c r="D144" s="40">
        <v>133</v>
      </c>
      <c r="E144" s="41">
        <v>140</v>
      </c>
      <c r="F144" s="38">
        <v>5.5</v>
      </c>
      <c r="G144" s="38">
        <v>8.5</v>
      </c>
      <c r="H144" s="39">
        <v>12</v>
      </c>
      <c r="I144" s="30">
        <v>3140</v>
      </c>
      <c r="J144" s="28">
        <v>116</v>
      </c>
      <c r="K144" s="28">
        <v>92</v>
      </c>
      <c r="L144" s="31">
        <v>10330000</v>
      </c>
      <c r="M144" s="31">
        <v>155400</v>
      </c>
      <c r="N144" s="31">
        <v>173500</v>
      </c>
      <c r="O144" s="30">
        <v>57.300000000000004</v>
      </c>
      <c r="P144" s="30">
        <v>1011.9999999999999</v>
      </c>
      <c r="Q144" s="31">
        <v>3893000</v>
      </c>
      <c r="R144" s="31">
        <v>55620</v>
      </c>
      <c r="S144" s="31">
        <v>84850</v>
      </c>
      <c r="T144" s="30">
        <v>35.200000000000003</v>
      </c>
      <c r="U144" s="34">
        <v>36.56</v>
      </c>
      <c r="V144" s="31">
        <v>81300.000000000015</v>
      </c>
      <c r="W144" s="31">
        <v>15060000000</v>
      </c>
    </row>
    <row r="145" spans="2:23" x14ac:dyDescent="0.25">
      <c r="B145" s="35" t="s">
        <v>331</v>
      </c>
      <c r="C145" s="25" t="s">
        <v>332</v>
      </c>
      <c r="D145" s="40">
        <v>152</v>
      </c>
      <c r="E145" s="41">
        <v>160</v>
      </c>
      <c r="F145" s="38">
        <v>6</v>
      </c>
      <c r="G145" s="38">
        <v>9</v>
      </c>
      <c r="H145" s="39">
        <v>15</v>
      </c>
      <c r="I145" s="30">
        <v>3879.9999999999995</v>
      </c>
      <c r="J145" s="28">
        <v>134</v>
      </c>
      <c r="K145" s="28">
        <v>104</v>
      </c>
      <c r="L145" s="31">
        <v>16730000</v>
      </c>
      <c r="M145" s="31">
        <v>220100</v>
      </c>
      <c r="N145" s="31">
        <v>245100</v>
      </c>
      <c r="O145" s="30">
        <v>65.7</v>
      </c>
      <c r="P145" s="30">
        <v>1321</v>
      </c>
      <c r="Q145" s="31">
        <v>6156000</v>
      </c>
      <c r="R145" s="31">
        <v>76950</v>
      </c>
      <c r="S145" s="31">
        <v>117600</v>
      </c>
      <c r="T145" s="30">
        <v>39.799999999999997</v>
      </c>
      <c r="U145" s="34">
        <v>41.57</v>
      </c>
      <c r="V145" s="31">
        <v>121900</v>
      </c>
      <c r="W145" s="31">
        <v>31410000000</v>
      </c>
    </row>
    <row r="146" spans="2:23" x14ac:dyDescent="0.25">
      <c r="B146" s="24" t="s">
        <v>333</v>
      </c>
      <c r="C146" s="25" t="s">
        <v>334</v>
      </c>
      <c r="D146" s="47">
        <v>171</v>
      </c>
      <c r="E146" s="48">
        <v>180</v>
      </c>
      <c r="F146" s="44">
        <v>6</v>
      </c>
      <c r="G146" s="44">
        <v>9.5</v>
      </c>
      <c r="H146" s="44">
        <v>15</v>
      </c>
      <c r="I146" s="30">
        <v>4530</v>
      </c>
      <c r="J146" s="45">
        <v>152</v>
      </c>
      <c r="K146" s="44">
        <v>122</v>
      </c>
      <c r="L146" s="31">
        <v>25100000</v>
      </c>
      <c r="M146" s="31">
        <v>293600</v>
      </c>
      <c r="N146" s="31">
        <v>324900</v>
      </c>
      <c r="O146" s="30">
        <v>74.5</v>
      </c>
      <c r="P146" s="30">
        <v>1447</v>
      </c>
      <c r="Q146" s="31">
        <v>9246000</v>
      </c>
      <c r="R146" s="31">
        <v>102700</v>
      </c>
      <c r="S146" s="31">
        <v>156500</v>
      </c>
      <c r="T146" s="30">
        <v>45.199999999999996</v>
      </c>
      <c r="U146" s="49">
        <v>42.57</v>
      </c>
      <c r="V146" s="31">
        <v>148000</v>
      </c>
      <c r="W146" s="31">
        <v>60210000000</v>
      </c>
    </row>
    <row r="147" spans="2:23" x14ac:dyDescent="0.25">
      <c r="B147" s="35" t="s">
        <v>335</v>
      </c>
      <c r="C147" s="32" t="s">
        <v>336</v>
      </c>
      <c r="D147" s="40">
        <v>190</v>
      </c>
      <c r="E147" s="41">
        <v>200</v>
      </c>
      <c r="F147" s="38">
        <v>6.5</v>
      </c>
      <c r="G147" s="38">
        <v>10</v>
      </c>
      <c r="H147" s="39">
        <v>18</v>
      </c>
      <c r="I147" s="30">
        <v>5380</v>
      </c>
      <c r="J147" s="28">
        <v>170</v>
      </c>
      <c r="K147" s="28">
        <v>134</v>
      </c>
      <c r="L147" s="31">
        <v>36920000</v>
      </c>
      <c r="M147" s="31">
        <v>388600</v>
      </c>
      <c r="N147" s="31">
        <v>429500</v>
      </c>
      <c r="O147" s="30">
        <v>82.8</v>
      </c>
      <c r="P147" s="30">
        <v>1807.9999999999998</v>
      </c>
      <c r="Q147" s="31">
        <v>13360000</v>
      </c>
      <c r="R147" s="31">
        <v>133600</v>
      </c>
      <c r="S147" s="31">
        <v>203800</v>
      </c>
      <c r="T147" s="30">
        <v>49.800000000000004</v>
      </c>
      <c r="U147" s="34">
        <v>47.59</v>
      </c>
      <c r="V147" s="31">
        <v>209800</v>
      </c>
      <c r="W147" s="31">
        <v>108000000000</v>
      </c>
    </row>
    <row r="148" spans="2:23" x14ac:dyDescent="0.25">
      <c r="B148" s="35" t="s">
        <v>337</v>
      </c>
      <c r="C148" s="32" t="s">
        <v>338</v>
      </c>
      <c r="D148" s="40">
        <v>210</v>
      </c>
      <c r="E148" s="41">
        <v>220</v>
      </c>
      <c r="F148" s="38">
        <v>7</v>
      </c>
      <c r="G148" s="38">
        <v>11</v>
      </c>
      <c r="H148" s="39">
        <v>18</v>
      </c>
      <c r="I148" s="30">
        <v>6430</v>
      </c>
      <c r="J148" s="28">
        <v>188</v>
      </c>
      <c r="K148" s="28">
        <v>152</v>
      </c>
      <c r="L148" s="31">
        <v>54100000</v>
      </c>
      <c r="M148" s="31">
        <v>515200</v>
      </c>
      <c r="N148" s="31">
        <v>568500</v>
      </c>
      <c r="O148" s="30">
        <v>91.7</v>
      </c>
      <c r="P148" s="30">
        <v>2067</v>
      </c>
      <c r="Q148" s="31">
        <v>19550000</v>
      </c>
      <c r="R148" s="31">
        <v>177700</v>
      </c>
      <c r="S148" s="31">
        <v>270600</v>
      </c>
      <c r="T148" s="30">
        <v>55.099999999999994</v>
      </c>
      <c r="U148" s="34">
        <v>50.09</v>
      </c>
      <c r="V148" s="31">
        <v>284600</v>
      </c>
      <c r="W148" s="31">
        <v>193300000000</v>
      </c>
    </row>
    <row r="149" spans="2:23" x14ac:dyDescent="0.25">
      <c r="B149" s="35" t="s">
        <v>339</v>
      </c>
      <c r="C149" s="32" t="s">
        <v>340</v>
      </c>
      <c r="D149" s="40">
        <v>230</v>
      </c>
      <c r="E149" s="41">
        <v>240</v>
      </c>
      <c r="F149" s="38">
        <v>7.5</v>
      </c>
      <c r="G149" s="38">
        <v>12</v>
      </c>
      <c r="H149" s="39">
        <v>21</v>
      </c>
      <c r="I149" s="30">
        <v>7680</v>
      </c>
      <c r="J149" s="28">
        <v>206</v>
      </c>
      <c r="K149" s="28">
        <v>164</v>
      </c>
      <c r="L149" s="31">
        <v>77630000</v>
      </c>
      <c r="M149" s="31">
        <v>675100</v>
      </c>
      <c r="N149" s="31">
        <v>744600</v>
      </c>
      <c r="O149" s="30">
        <v>100.5</v>
      </c>
      <c r="P149" s="30">
        <v>2518</v>
      </c>
      <c r="Q149" s="31">
        <v>27690000</v>
      </c>
      <c r="R149" s="31">
        <v>230700</v>
      </c>
      <c r="S149" s="31">
        <v>351700</v>
      </c>
      <c r="T149" s="30">
        <v>60</v>
      </c>
      <c r="U149" s="34">
        <v>56.1</v>
      </c>
      <c r="V149" s="31">
        <v>415500</v>
      </c>
      <c r="W149" s="31">
        <v>328500000000</v>
      </c>
    </row>
    <row r="150" spans="2:23" x14ac:dyDescent="0.25">
      <c r="B150" s="24" t="s">
        <v>341</v>
      </c>
      <c r="C150" s="32" t="s">
        <v>342</v>
      </c>
      <c r="D150" s="33">
        <v>250</v>
      </c>
      <c r="E150" s="33">
        <v>260</v>
      </c>
      <c r="F150" s="33">
        <v>7.5</v>
      </c>
      <c r="G150" s="33">
        <v>12.5</v>
      </c>
      <c r="H150" s="50">
        <v>24</v>
      </c>
      <c r="I150" s="30">
        <v>8680</v>
      </c>
      <c r="J150" s="33">
        <v>225</v>
      </c>
      <c r="K150" s="33">
        <v>177</v>
      </c>
      <c r="L150" s="31">
        <v>104500000</v>
      </c>
      <c r="M150" s="31">
        <v>836400</v>
      </c>
      <c r="N150" s="31">
        <v>919800</v>
      </c>
      <c r="O150" s="30">
        <v>109.7</v>
      </c>
      <c r="P150" s="30">
        <v>2876</v>
      </c>
      <c r="Q150" s="31">
        <v>36680000</v>
      </c>
      <c r="R150" s="31">
        <v>282100</v>
      </c>
      <c r="S150" s="31">
        <v>430200</v>
      </c>
      <c r="T150" s="30">
        <v>65</v>
      </c>
      <c r="U150" s="33">
        <v>60.62</v>
      </c>
      <c r="V150" s="31">
        <v>523700</v>
      </c>
      <c r="W150" s="31">
        <v>516400000000</v>
      </c>
    </row>
    <row r="151" spans="2:23" x14ac:dyDescent="0.25">
      <c r="B151" s="35" t="s">
        <v>343</v>
      </c>
      <c r="C151" s="32" t="s">
        <v>344</v>
      </c>
      <c r="D151" s="40">
        <v>270</v>
      </c>
      <c r="E151" s="41">
        <v>280</v>
      </c>
      <c r="F151" s="41">
        <v>8</v>
      </c>
      <c r="G151" s="41">
        <v>13</v>
      </c>
      <c r="H151" s="46">
        <v>24</v>
      </c>
      <c r="I151" s="30">
        <v>9730</v>
      </c>
      <c r="J151" s="33">
        <v>244</v>
      </c>
      <c r="K151" s="33">
        <v>196</v>
      </c>
      <c r="L151" s="31">
        <v>136700000</v>
      </c>
      <c r="M151" s="31">
        <v>1012835.39</v>
      </c>
      <c r="N151" s="31">
        <v>1112000</v>
      </c>
      <c r="O151" s="30">
        <v>118.6</v>
      </c>
      <c r="P151" s="30">
        <v>3174</v>
      </c>
      <c r="Q151" s="31">
        <v>47630000</v>
      </c>
      <c r="R151" s="31">
        <v>340200</v>
      </c>
      <c r="S151" s="31">
        <v>518100</v>
      </c>
      <c r="T151" s="30">
        <v>70</v>
      </c>
      <c r="U151" s="33">
        <v>62.12</v>
      </c>
      <c r="V151" s="31">
        <v>621000</v>
      </c>
      <c r="W151" s="31">
        <v>785400000000</v>
      </c>
    </row>
    <row r="152" spans="2:23" x14ac:dyDescent="0.25">
      <c r="B152" s="35" t="s">
        <v>345</v>
      </c>
      <c r="C152" s="32" t="s">
        <v>346</v>
      </c>
      <c r="D152" s="40">
        <v>290</v>
      </c>
      <c r="E152" s="41">
        <v>300</v>
      </c>
      <c r="F152" s="41">
        <v>8.5</v>
      </c>
      <c r="G152" s="41">
        <v>14</v>
      </c>
      <c r="H152" s="46">
        <v>27</v>
      </c>
      <c r="I152" s="30">
        <v>11250</v>
      </c>
      <c r="J152" s="33">
        <v>262</v>
      </c>
      <c r="K152" s="33">
        <v>208</v>
      </c>
      <c r="L152" s="31">
        <v>182600000</v>
      </c>
      <c r="M152" s="31">
        <v>1259549.4099999999</v>
      </c>
      <c r="N152" s="31">
        <v>1383000</v>
      </c>
      <c r="O152" s="30">
        <v>127.4</v>
      </c>
      <c r="P152" s="30">
        <v>3728</v>
      </c>
      <c r="Q152" s="31">
        <v>63100000</v>
      </c>
      <c r="R152" s="31">
        <v>420600</v>
      </c>
      <c r="S152" s="31">
        <v>641200</v>
      </c>
      <c r="T152" s="30">
        <v>74.900000000000006</v>
      </c>
      <c r="U152" s="33">
        <v>68.13</v>
      </c>
      <c r="V152" s="31">
        <v>851700</v>
      </c>
      <c r="W152" s="31">
        <v>1200000000000</v>
      </c>
    </row>
    <row r="153" spans="2:23" x14ac:dyDescent="0.25">
      <c r="B153" s="35" t="s">
        <v>347</v>
      </c>
      <c r="C153" s="32" t="s">
        <v>348</v>
      </c>
      <c r="D153" s="40">
        <v>310</v>
      </c>
      <c r="E153" s="41">
        <v>300</v>
      </c>
      <c r="F153" s="41">
        <v>9</v>
      </c>
      <c r="G153" s="41">
        <v>15.5</v>
      </c>
      <c r="H153" s="46">
        <v>27</v>
      </c>
      <c r="I153" s="30">
        <v>12440</v>
      </c>
      <c r="J153" s="33">
        <v>279</v>
      </c>
      <c r="K153" s="33">
        <v>225</v>
      </c>
      <c r="L153" s="31">
        <v>229300000</v>
      </c>
      <c r="M153" s="31">
        <v>1479261.8</v>
      </c>
      <c r="N153" s="31">
        <v>1628000</v>
      </c>
      <c r="O153" s="30">
        <v>135.80000000000001</v>
      </c>
      <c r="P153" s="30">
        <v>4113</v>
      </c>
      <c r="Q153" s="31">
        <v>69850000</v>
      </c>
      <c r="R153" s="31">
        <v>465700</v>
      </c>
      <c r="S153" s="31">
        <v>709700</v>
      </c>
      <c r="T153" s="30">
        <v>74.900000000000006</v>
      </c>
      <c r="U153" s="33">
        <v>71.63</v>
      </c>
      <c r="V153" s="31">
        <v>1080000</v>
      </c>
      <c r="W153" s="31">
        <v>1512000000000</v>
      </c>
    </row>
    <row r="154" spans="2:23" x14ac:dyDescent="0.25">
      <c r="B154" s="35" t="s">
        <v>349</v>
      </c>
      <c r="C154" s="32">
        <v>105</v>
      </c>
      <c r="D154" s="40">
        <v>330</v>
      </c>
      <c r="E154" s="41">
        <v>300</v>
      </c>
      <c r="F154" s="41">
        <v>9.5</v>
      </c>
      <c r="G154" s="41">
        <v>16.5</v>
      </c>
      <c r="H154" s="46">
        <v>27</v>
      </c>
      <c r="I154" s="30">
        <v>13350</v>
      </c>
      <c r="J154" s="33">
        <v>297</v>
      </c>
      <c r="K154" s="33">
        <v>243</v>
      </c>
      <c r="L154" s="31">
        <v>276900000</v>
      </c>
      <c r="M154" s="31">
        <v>1678367.9</v>
      </c>
      <c r="N154" s="31">
        <v>1850000</v>
      </c>
      <c r="O154" s="30">
        <v>144</v>
      </c>
      <c r="P154" s="30">
        <v>4495</v>
      </c>
      <c r="Q154" s="31">
        <v>74360000</v>
      </c>
      <c r="R154" s="31">
        <v>495700</v>
      </c>
      <c r="S154" s="31">
        <v>755900</v>
      </c>
      <c r="T154" s="30">
        <v>74.599999999999994</v>
      </c>
      <c r="U154" s="33">
        <v>74.13</v>
      </c>
      <c r="V154" s="31">
        <v>1272000</v>
      </c>
      <c r="W154" s="31">
        <v>1824000000000</v>
      </c>
    </row>
    <row r="155" spans="2:23" x14ac:dyDescent="0.25">
      <c r="B155" s="35" t="s">
        <v>350</v>
      </c>
      <c r="C155" s="32">
        <v>112</v>
      </c>
      <c r="D155" s="40">
        <v>350</v>
      </c>
      <c r="E155" s="41">
        <v>300</v>
      </c>
      <c r="F155" s="41">
        <v>10</v>
      </c>
      <c r="G155" s="41">
        <v>17.5</v>
      </c>
      <c r="H155" s="46">
        <v>27</v>
      </c>
      <c r="I155" s="30">
        <v>14280.000000000002</v>
      </c>
      <c r="J155" s="33">
        <v>315</v>
      </c>
      <c r="K155" s="33">
        <v>261</v>
      </c>
      <c r="L155" s="31">
        <v>330900000</v>
      </c>
      <c r="M155" s="31">
        <v>1890842.94</v>
      </c>
      <c r="N155" s="31">
        <v>2088000</v>
      </c>
      <c r="O155" s="30">
        <v>152.20000000000002</v>
      </c>
      <c r="P155" s="30">
        <v>4896</v>
      </c>
      <c r="Q155" s="31">
        <v>78870000</v>
      </c>
      <c r="R155" s="31">
        <v>525800</v>
      </c>
      <c r="S155" s="31">
        <v>802300</v>
      </c>
      <c r="T155" s="30">
        <v>74.3</v>
      </c>
      <c r="U155" s="33">
        <v>76.63</v>
      </c>
      <c r="V155" s="31">
        <v>1488000</v>
      </c>
      <c r="W155" s="31">
        <v>2177000000000</v>
      </c>
    </row>
    <row r="156" spans="2:23" x14ac:dyDescent="0.25">
      <c r="B156" s="51" t="s">
        <v>351</v>
      </c>
      <c r="C156" s="52">
        <v>125</v>
      </c>
      <c r="D156" s="36">
        <v>390</v>
      </c>
      <c r="E156" s="37">
        <v>300</v>
      </c>
      <c r="F156" s="37">
        <v>11</v>
      </c>
      <c r="G156" s="37">
        <v>19</v>
      </c>
      <c r="H156" s="53">
        <v>27</v>
      </c>
      <c r="I156" s="30">
        <v>15900</v>
      </c>
      <c r="J156" s="27">
        <v>352</v>
      </c>
      <c r="K156" s="27">
        <v>298</v>
      </c>
      <c r="L156" s="31">
        <v>450700000</v>
      </c>
      <c r="M156" s="31">
        <v>2311248.85</v>
      </c>
      <c r="N156" s="31">
        <v>2562000</v>
      </c>
      <c r="O156" s="30">
        <v>168.4</v>
      </c>
      <c r="P156" s="30">
        <v>5733</v>
      </c>
      <c r="Q156" s="31">
        <v>85640000</v>
      </c>
      <c r="R156" s="31">
        <v>570900</v>
      </c>
      <c r="S156" s="31">
        <v>872900</v>
      </c>
      <c r="T156" s="30">
        <v>73.400000000000006</v>
      </c>
      <c r="U156" s="54">
        <v>80.63</v>
      </c>
      <c r="V156" s="31">
        <v>1890000</v>
      </c>
      <c r="W156" s="31">
        <v>2942000000000</v>
      </c>
    </row>
    <row r="157" spans="2:23" x14ac:dyDescent="0.25">
      <c r="B157" s="35" t="s">
        <v>352</v>
      </c>
      <c r="C157" s="32">
        <v>140</v>
      </c>
      <c r="D157" s="40">
        <v>440</v>
      </c>
      <c r="E157" s="41">
        <v>300</v>
      </c>
      <c r="F157" s="41">
        <v>11.5</v>
      </c>
      <c r="G157" s="41">
        <v>21</v>
      </c>
      <c r="H157" s="46">
        <v>27</v>
      </c>
      <c r="I157" s="30">
        <v>17800</v>
      </c>
      <c r="J157" s="33">
        <v>398</v>
      </c>
      <c r="K157" s="33">
        <v>344</v>
      </c>
      <c r="L157" s="31">
        <v>637200000</v>
      </c>
      <c r="M157" s="31">
        <v>2896435.59</v>
      </c>
      <c r="N157" s="31">
        <v>3216000</v>
      </c>
      <c r="O157" s="30">
        <v>189.20000000000002</v>
      </c>
      <c r="P157" s="30">
        <v>6578</v>
      </c>
      <c r="Q157" s="31">
        <v>94650000</v>
      </c>
      <c r="R157" s="31">
        <v>631000</v>
      </c>
      <c r="S157" s="31">
        <v>965500</v>
      </c>
      <c r="T157" s="30">
        <v>72.900000000000006</v>
      </c>
      <c r="U157" s="33">
        <v>85.13</v>
      </c>
      <c r="V157" s="31">
        <v>2438000</v>
      </c>
      <c r="W157" s="31">
        <v>4148000000000</v>
      </c>
    </row>
    <row r="158" spans="2:23" x14ac:dyDescent="0.25">
      <c r="B158" s="35" t="s">
        <v>353</v>
      </c>
      <c r="C158" s="32">
        <v>155</v>
      </c>
      <c r="D158" s="40">
        <v>490</v>
      </c>
      <c r="E158" s="41">
        <v>300</v>
      </c>
      <c r="F158" s="41">
        <v>12</v>
      </c>
      <c r="G158" s="41">
        <v>23</v>
      </c>
      <c r="H158" s="46">
        <v>27</v>
      </c>
      <c r="I158" s="30">
        <v>19750</v>
      </c>
      <c r="J158" s="33">
        <v>444</v>
      </c>
      <c r="K158" s="33">
        <v>390</v>
      </c>
      <c r="L158" s="31">
        <v>869700000</v>
      </c>
      <c r="M158" s="31">
        <v>3549988.67</v>
      </c>
      <c r="N158" s="31">
        <v>3949000</v>
      </c>
      <c r="O158" s="30">
        <v>209.8</v>
      </c>
      <c r="P158" s="30">
        <v>7472</v>
      </c>
      <c r="Q158" s="31">
        <v>103700000</v>
      </c>
      <c r="R158" s="31">
        <v>691100</v>
      </c>
      <c r="S158" s="31">
        <v>1059000</v>
      </c>
      <c r="T158" s="30">
        <v>72.400000000000006</v>
      </c>
      <c r="U158" s="54">
        <v>89.63</v>
      </c>
      <c r="V158" s="31">
        <v>3093000</v>
      </c>
      <c r="W158" s="31">
        <v>5643000000000</v>
      </c>
    </row>
    <row r="159" spans="2:23" x14ac:dyDescent="0.25">
      <c r="B159" s="35" t="s">
        <v>354</v>
      </c>
      <c r="C159" s="32">
        <v>166</v>
      </c>
      <c r="D159" s="40">
        <v>540</v>
      </c>
      <c r="E159" s="41">
        <v>300</v>
      </c>
      <c r="F159" s="41">
        <v>12.5</v>
      </c>
      <c r="G159" s="41">
        <v>24</v>
      </c>
      <c r="H159" s="46">
        <v>27</v>
      </c>
      <c r="I159" s="30">
        <v>21180</v>
      </c>
      <c r="J159" s="33">
        <v>492</v>
      </c>
      <c r="K159" s="33">
        <v>438</v>
      </c>
      <c r="L159" s="31">
        <v>1119000000</v>
      </c>
      <c r="M159" s="31">
        <v>4145635.38</v>
      </c>
      <c r="N159" s="31">
        <v>4622000</v>
      </c>
      <c r="O159" s="30">
        <v>229.89999999999998</v>
      </c>
      <c r="P159" s="30">
        <v>8372</v>
      </c>
      <c r="Q159" s="31">
        <v>108200000</v>
      </c>
      <c r="R159" s="31">
        <v>721300</v>
      </c>
      <c r="S159" s="31">
        <v>1107000</v>
      </c>
      <c r="T159" s="30">
        <v>71.5</v>
      </c>
      <c r="U159" s="33">
        <v>92.13</v>
      </c>
      <c r="V159" s="31">
        <v>3515000</v>
      </c>
      <c r="W159" s="31">
        <v>7189000000000</v>
      </c>
    </row>
    <row r="160" spans="2:23" x14ac:dyDescent="0.25">
      <c r="B160" s="35" t="s">
        <v>355</v>
      </c>
      <c r="C160" s="32">
        <v>178</v>
      </c>
      <c r="D160" s="40">
        <v>590</v>
      </c>
      <c r="E160" s="41">
        <v>300</v>
      </c>
      <c r="F160" s="41">
        <v>13</v>
      </c>
      <c r="G160" s="41">
        <v>25</v>
      </c>
      <c r="H160" s="46">
        <v>27</v>
      </c>
      <c r="I160" s="30">
        <v>22650</v>
      </c>
      <c r="J160" s="33">
        <v>540</v>
      </c>
      <c r="K160" s="33">
        <v>486</v>
      </c>
      <c r="L160" s="31">
        <v>1412000000</v>
      </c>
      <c r="M160" s="31">
        <v>4786713.0599999996</v>
      </c>
      <c r="N160" s="31">
        <v>5350000</v>
      </c>
      <c r="O160" s="30">
        <v>249.7</v>
      </c>
      <c r="P160" s="30">
        <v>9321</v>
      </c>
      <c r="Q160" s="31">
        <v>112700000</v>
      </c>
      <c r="R160" s="31">
        <v>751400</v>
      </c>
      <c r="S160" s="31">
        <v>1156000</v>
      </c>
      <c r="T160" s="30">
        <v>70.5</v>
      </c>
      <c r="U160" s="33">
        <v>94.63</v>
      </c>
      <c r="V160" s="31">
        <v>3978000</v>
      </c>
      <c r="W160" s="31">
        <v>8978000000000</v>
      </c>
    </row>
    <row r="161" spans="2:23" x14ac:dyDescent="0.25">
      <c r="B161" s="51" t="s">
        <v>356</v>
      </c>
      <c r="C161" s="55">
        <v>190</v>
      </c>
      <c r="D161" s="36">
        <v>640</v>
      </c>
      <c r="E161" s="37">
        <v>300</v>
      </c>
      <c r="F161" s="37">
        <v>13.5</v>
      </c>
      <c r="G161" s="37">
        <v>26</v>
      </c>
      <c r="H161" s="53">
        <v>27</v>
      </c>
      <c r="I161" s="30">
        <v>24160</v>
      </c>
      <c r="J161" s="27">
        <v>588</v>
      </c>
      <c r="K161" s="27">
        <v>534</v>
      </c>
      <c r="L161" s="31">
        <v>1752000000</v>
      </c>
      <c r="M161" s="31">
        <v>5474317.2000000002</v>
      </c>
      <c r="N161" s="31">
        <v>6136000</v>
      </c>
      <c r="O161" s="30">
        <v>269.3</v>
      </c>
      <c r="P161" s="30">
        <v>10320</v>
      </c>
      <c r="Q161" s="31">
        <v>117200000</v>
      </c>
      <c r="R161" s="31">
        <v>781600</v>
      </c>
      <c r="S161" s="31">
        <v>1205000</v>
      </c>
      <c r="T161" s="30">
        <v>69.7</v>
      </c>
      <c r="U161" s="54">
        <v>97.13</v>
      </c>
      <c r="V161" s="31">
        <v>4483000</v>
      </c>
      <c r="W161" s="31">
        <v>11030000000000</v>
      </c>
    </row>
    <row r="162" spans="2:23" x14ac:dyDescent="0.25">
      <c r="B162" s="35" t="s">
        <v>357</v>
      </c>
      <c r="C162" s="32">
        <v>204</v>
      </c>
      <c r="D162" s="40">
        <v>690</v>
      </c>
      <c r="E162" s="41">
        <v>300</v>
      </c>
      <c r="F162" s="41">
        <v>14.5</v>
      </c>
      <c r="G162" s="41">
        <v>27</v>
      </c>
      <c r="H162" s="46">
        <v>27</v>
      </c>
      <c r="I162" s="30">
        <v>26050</v>
      </c>
      <c r="J162" s="33">
        <v>636</v>
      </c>
      <c r="K162" s="33">
        <v>582</v>
      </c>
      <c r="L162" s="31">
        <v>2153000000</v>
      </c>
      <c r="M162" s="31">
        <v>6240616.25</v>
      </c>
      <c r="N162" s="31">
        <v>7032000</v>
      </c>
      <c r="O162" s="30">
        <v>287.5</v>
      </c>
      <c r="P162" s="30">
        <v>11700</v>
      </c>
      <c r="Q162" s="31">
        <v>121800000</v>
      </c>
      <c r="R162" s="31">
        <v>811900</v>
      </c>
      <c r="S162" s="31">
        <v>1257000</v>
      </c>
      <c r="T162" s="30">
        <v>68.400000000000006</v>
      </c>
      <c r="U162" s="33">
        <v>100.1</v>
      </c>
      <c r="V162" s="31">
        <v>5139000</v>
      </c>
      <c r="W162" s="31">
        <v>13350000000000</v>
      </c>
    </row>
    <row r="163" spans="2:23" x14ac:dyDescent="0.25">
      <c r="B163" s="35" t="s">
        <v>358</v>
      </c>
      <c r="C163" s="32">
        <v>224</v>
      </c>
      <c r="D163" s="40">
        <v>790</v>
      </c>
      <c r="E163" s="41">
        <v>300</v>
      </c>
      <c r="F163" s="41">
        <v>15</v>
      </c>
      <c r="G163" s="41">
        <v>28</v>
      </c>
      <c r="H163" s="46">
        <v>30</v>
      </c>
      <c r="I163" s="30">
        <v>28580</v>
      </c>
      <c r="J163" s="33">
        <v>734</v>
      </c>
      <c r="K163" s="33">
        <v>674</v>
      </c>
      <c r="L163" s="31">
        <v>3034000000</v>
      </c>
      <c r="M163" s="31">
        <v>7682088.4400000004</v>
      </c>
      <c r="N163" s="31">
        <v>8699000</v>
      </c>
      <c r="O163" s="30">
        <v>325.79999999999995</v>
      </c>
      <c r="P163" s="30">
        <v>13880.000000000002</v>
      </c>
      <c r="Q163" s="31">
        <v>126400000</v>
      </c>
      <c r="R163" s="31">
        <v>842600</v>
      </c>
      <c r="S163" s="31">
        <v>1312000</v>
      </c>
      <c r="T163" s="30">
        <v>66.5</v>
      </c>
      <c r="U163" s="33">
        <v>106.1</v>
      </c>
      <c r="V163" s="31">
        <v>5969000</v>
      </c>
      <c r="W163" s="31">
        <v>18290000000000</v>
      </c>
    </row>
    <row r="164" spans="2:23" x14ac:dyDescent="0.25">
      <c r="B164" s="35" t="s">
        <v>359</v>
      </c>
      <c r="C164" s="32">
        <v>252</v>
      </c>
      <c r="D164" s="40">
        <v>890</v>
      </c>
      <c r="E164" s="41">
        <v>300</v>
      </c>
      <c r="F164" s="41">
        <v>16</v>
      </c>
      <c r="G164" s="41">
        <v>30</v>
      </c>
      <c r="H164" s="46">
        <v>30</v>
      </c>
      <c r="I164" s="30">
        <v>32050</v>
      </c>
      <c r="J164" s="33">
        <v>830</v>
      </c>
      <c r="K164" s="33">
        <v>770</v>
      </c>
      <c r="L164" s="31">
        <v>4221000000</v>
      </c>
      <c r="M164" s="31">
        <v>9484827.6999999993</v>
      </c>
      <c r="N164" s="31">
        <v>10810000</v>
      </c>
      <c r="O164" s="30">
        <v>362.9</v>
      </c>
      <c r="P164" s="30">
        <v>16330.000000000002</v>
      </c>
      <c r="Q164" s="31">
        <v>135500000</v>
      </c>
      <c r="R164" s="31">
        <v>903200</v>
      </c>
      <c r="S164" s="31">
        <v>1414000</v>
      </c>
      <c r="T164" s="30">
        <v>65</v>
      </c>
      <c r="U164" s="33">
        <v>111.1</v>
      </c>
      <c r="V164" s="31">
        <v>7368000</v>
      </c>
      <c r="W164" s="31">
        <v>24960000000000</v>
      </c>
    </row>
    <row r="165" spans="2:23" x14ac:dyDescent="0.25">
      <c r="B165" s="35" t="s">
        <v>360</v>
      </c>
      <c r="C165" s="32" t="s">
        <v>361</v>
      </c>
      <c r="D165" s="40">
        <v>91</v>
      </c>
      <c r="E165" s="41">
        <v>100</v>
      </c>
      <c r="F165" s="38">
        <v>4.2</v>
      </c>
      <c r="G165" s="38">
        <v>5.5</v>
      </c>
      <c r="H165" s="39">
        <v>12</v>
      </c>
      <c r="I165" s="30">
        <v>1560</v>
      </c>
      <c r="J165" s="28">
        <v>80</v>
      </c>
      <c r="K165" s="28">
        <v>56</v>
      </c>
      <c r="L165" s="31">
        <v>2365000</v>
      </c>
      <c r="M165" s="31">
        <v>51980</v>
      </c>
      <c r="N165" s="31">
        <v>58360</v>
      </c>
      <c r="O165" s="30">
        <v>38.9</v>
      </c>
      <c r="P165" s="30">
        <v>615</v>
      </c>
      <c r="Q165" s="31">
        <v>920600</v>
      </c>
      <c r="R165" s="31">
        <v>18410</v>
      </c>
      <c r="S165" s="31">
        <v>28440</v>
      </c>
      <c r="T165" s="30">
        <v>24.3</v>
      </c>
      <c r="U165" s="34">
        <v>29.26</v>
      </c>
      <c r="V165" s="31">
        <v>25099.999999999996</v>
      </c>
      <c r="W165" s="31">
        <v>1680000000</v>
      </c>
    </row>
    <row r="166" spans="2:23" x14ac:dyDescent="0.25">
      <c r="B166" s="35" t="s">
        <v>362</v>
      </c>
      <c r="C166" s="32">
        <v>222</v>
      </c>
      <c r="D166" s="40">
        <v>970</v>
      </c>
      <c r="E166" s="41">
        <v>300</v>
      </c>
      <c r="F166" s="41">
        <v>16</v>
      </c>
      <c r="G166" s="41">
        <v>21</v>
      </c>
      <c r="H166" s="46">
        <v>30</v>
      </c>
      <c r="I166" s="30">
        <v>28220</v>
      </c>
      <c r="J166" s="33">
        <v>928</v>
      </c>
      <c r="K166" s="33">
        <v>868</v>
      </c>
      <c r="L166" s="31">
        <v>4065000000</v>
      </c>
      <c r="M166" s="31">
        <v>8380000</v>
      </c>
      <c r="N166" s="31">
        <v>9777000</v>
      </c>
      <c r="O166" s="30">
        <v>379.5</v>
      </c>
      <c r="P166" s="30">
        <v>17220</v>
      </c>
      <c r="Q166" s="31">
        <v>95010000</v>
      </c>
      <c r="R166" s="31">
        <v>633400</v>
      </c>
      <c r="S166" s="31">
        <v>1016000</v>
      </c>
      <c r="T166" s="30">
        <v>58</v>
      </c>
      <c r="U166" s="33">
        <v>93.15</v>
      </c>
      <c r="V166" s="31">
        <v>4034000</v>
      </c>
      <c r="W166" s="31">
        <v>21280000000000</v>
      </c>
    </row>
    <row r="167" spans="2:23" x14ac:dyDescent="0.25">
      <c r="B167" s="35" t="s">
        <v>363</v>
      </c>
      <c r="C167" s="32" t="s">
        <v>364</v>
      </c>
      <c r="D167" s="40">
        <v>109</v>
      </c>
      <c r="E167" s="41">
        <v>120</v>
      </c>
      <c r="F167" s="38">
        <v>4.2</v>
      </c>
      <c r="G167" s="38">
        <v>5.5</v>
      </c>
      <c r="H167" s="39">
        <v>12</v>
      </c>
      <c r="I167" s="30">
        <v>1860.0000000000002</v>
      </c>
      <c r="J167" s="28">
        <v>98</v>
      </c>
      <c r="K167" s="28">
        <v>74</v>
      </c>
      <c r="L167" s="31">
        <v>4134000</v>
      </c>
      <c r="M167" s="31">
        <v>75850</v>
      </c>
      <c r="N167" s="31">
        <v>84120</v>
      </c>
      <c r="O167" s="30">
        <v>47.199999999999996</v>
      </c>
      <c r="P167" s="30">
        <v>690</v>
      </c>
      <c r="Q167" s="31">
        <v>1588000</v>
      </c>
      <c r="R167" s="31">
        <v>26470</v>
      </c>
      <c r="S167" s="31">
        <v>40620</v>
      </c>
      <c r="T167" s="30">
        <v>29.3</v>
      </c>
      <c r="U167" s="34">
        <v>29.26</v>
      </c>
      <c r="V167" s="31">
        <v>27799.999999999996</v>
      </c>
      <c r="W167" s="31">
        <v>4240000000</v>
      </c>
    </row>
    <row r="168" spans="2:23" x14ac:dyDescent="0.25">
      <c r="B168" s="35" t="s">
        <v>365</v>
      </c>
      <c r="C168" s="25" t="s">
        <v>366</v>
      </c>
      <c r="D168" s="40">
        <v>128</v>
      </c>
      <c r="E168" s="41">
        <v>140</v>
      </c>
      <c r="F168" s="38">
        <v>4.3</v>
      </c>
      <c r="G168" s="38">
        <v>6</v>
      </c>
      <c r="H168" s="39">
        <v>12</v>
      </c>
      <c r="I168" s="30">
        <v>2300</v>
      </c>
      <c r="J168" s="28">
        <v>116</v>
      </c>
      <c r="K168" s="28">
        <v>92</v>
      </c>
      <c r="L168" s="31">
        <v>7195000</v>
      </c>
      <c r="M168" s="31">
        <v>112400</v>
      </c>
      <c r="N168" s="31">
        <v>123800</v>
      </c>
      <c r="O168" s="30">
        <v>55.9</v>
      </c>
      <c r="P168" s="30">
        <v>792</v>
      </c>
      <c r="Q168" s="31">
        <v>2748000</v>
      </c>
      <c r="R168" s="31">
        <v>39260</v>
      </c>
      <c r="S168" s="31">
        <v>59930</v>
      </c>
      <c r="T168" s="30">
        <v>34.5</v>
      </c>
      <c r="U168" s="34">
        <v>30.36</v>
      </c>
      <c r="V168" s="31">
        <v>35400</v>
      </c>
      <c r="W168" s="31">
        <v>10210000000</v>
      </c>
    </row>
    <row r="169" spans="2:23" x14ac:dyDescent="0.25">
      <c r="B169" s="35" t="s">
        <v>367</v>
      </c>
      <c r="C169" s="32" t="s">
        <v>368</v>
      </c>
      <c r="D169" s="40">
        <v>148</v>
      </c>
      <c r="E169" s="41">
        <v>160</v>
      </c>
      <c r="F169" s="38">
        <v>4.5</v>
      </c>
      <c r="G169" s="38">
        <v>7</v>
      </c>
      <c r="H169" s="39">
        <v>15</v>
      </c>
      <c r="I169" s="30">
        <v>3040</v>
      </c>
      <c r="J169" s="28">
        <v>134</v>
      </c>
      <c r="K169" s="28">
        <v>104</v>
      </c>
      <c r="L169" s="31">
        <v>12830000</v>
      </c>
      <c r="M169" s="31">
        <v>173400</v>
      </c>
      <c r="N169" s="31">
        <v>190400</v>
      </c>
      <c r="O169" s="30">
        <v>65</v>
      </c>
      <c r="P169" s="30">
        <v>1038</v>
      </c>
      <c r="Q169" s="31">
        <v>4787000</v>
      </c>
      <c r="R169" s="31">
        <v>59840</v>
      </c>
      <c r="S169" s="31">
        <v>91360</v>
      </c>
      <c r="T169" s="30">
        <v>39.700000000000003</v>
      </c>
      <c r="U169" s="34">
        <v>36.07</v>
      </c>
      <c r="V169" s="31">
        <v>63300</v>
      </c>
      <c r="W169" s="31">
        <v>23750000000</v>
      </c>
    </row>
    <row r="170" spans="2:23" x14ac:dyDescent="0.25">
      <c r="B170" s="35" t="s">
        <v>369</v>
      </c>
      <c r="C170" s="32" t="s">
        <v>370</v>
      </c>
      <c r="D170" s="40">
        <v>167</v>
      </c>
      <c r="E170" s="41">
        <v>180</v>
      </c>
      <c r="F170" s="38">
        <v>5</v>
      </c>
      <c r="G170" s="38">
        <v>7.5</v>
      </c>
      <c r="H170" s="39">
        <v>15</v>
      </c>
      <c r="I170" s="30">
        <v>3650</v>
      </c>
      <c r="J170" s="28">
        <v>152</v>
      </c>
      <c r="K170" s="28">
        <v>122</v>
      </c>
      <c r="L170" s="31">
        <v>19670000</v>
      </c>
      <c r="M170" s="31">
        <v>235600</v>
      </c>
      <c r="N170" s="31">
        <v>258200</v>
      </c>
      <c r="O170" s="30">
        <v>73.400000000000006</v>
      </c>
      <c r="P170" s="30">
        <v>1216</v>
      </c>
      <c r="Q170" s="31">
        <v>7300000</v>
      </c>
      <c r="R170" s="31">
        <v>81110</v>
      </c>
      <c r="S170" s="31">
        <v>123600</v>
      </c>
      <c r="T170" s="30">
        <v>44.699999999999996</v>
      </c>
      <c r="U170" s="34">
        <v>37.57</v>
      </c>
      <c r="V170" s="31">
        <v>83300</v>
      </c>
      <c r="W170" s="31">
        <v>46360000000</v>
      </c>
    </row>
    <row r="171" spans="2:23" x14ac:dyDescent="0.25">
      <c r="B171" s="35" t="s">
        <v>371</v>
      </c>
      <c r="C171" s="32" t="s">
        <v>372</v>
      </c>
      <c r="D171" s="40">
        <v>186</v>
      </c>
      <c r="E171" s="41">
        <v>200</v>
      </c>
      <c r="F171" s="38">
        <v>5.5</v>
      </c>
      <c r="G171" s="38">
        <v>8</v>
      </c>
      <c r="H171" s="39">
        <v>18</v>
      </c>
      <c r="I171" s="30">
        <v>4410</v>
      </c>
      <c r="J171" s="28">
        <v>170</v>
      </c>
      <c r="K171" s="28">
        <v>134</v>
      </c>
      <c r="L171" s="31">
        <v>29440000</v>
      </c>
      <c r="M171" s="31">
        <v>316600</v>
      </c>
      <c r="N171" s="31">
        <v>347100</v>
      </c>
      <c r="O171" s="30">
        <v>81.7</v>
      </c>
      <c r="P171" s="30">
        <v>1545</v>
      </c>
      <c r="Q171" s="31">
        <v>10680000</v>
      </c>
      <c r="R171" s="31">
        <v>106800</v>
      </c>
      <c r="S171" s="31">
        <v>163200</v>
      </c>
      <c r="T171" s="30">
        <v>49.2</v>
      </c>
      <c r="U171" s="34">
        <v>42.59</v>
      </c>
      <c r="V171" s="31">
        <v>126900</v>
      </c>
      <c r="W171" s="31">
        <v>84490000000</v>
      </c>
    </row>
    <row r="172" spans="2:23" x14ac:dyDescent="0.25">
      <c r="B172" s="35" t="s">
        <v>373</v>
      </c>
      <c r="C172" s="56" t="s">
        <v>374</v>
      </c>
      <c r="D172" s="41">
        <v>205</v>
      </c>
      <c r="E172" s="41">
        <v>220</v>
      </c>
      <c r="F172" s="38">
        <v>6</v>
      </c>
      <c r="G172" s="38">
        <v>8.5</v>
      </c>
      <c r="H172" s="38">
        <v>18</v>
      </c>
      <c r="I172" s="30">
        <v>5150</v>
      </c>
      <c r="J172" s="38">
        <v>188</v>
      </c>
      <c r="K172" s="38">
        <v>152</v>
      </c>
      <c r="L172" s="31">
        <v>41700000</v>
      </c>
      <c r="M172" s="31">
        <v>406900</v>
      </c>
      <c r="N172" s="31">
        <v>445500</v>
      </c>
      <c r="O172" s="30">
        <v>90</v>
      </c>
      <c r="P172" s="30">
        <v>1763</v>
      </c>
      <c r="Q172" s="31">
        <v>15100000</v>
      </c>
      <c r="R172" s="31">
        <v>137300</v>
      </c>
      <c r="S172" s="31">
        <v>209300</v>
      </c>
      <c r="T172" s="30">
        <v>54.2</v>
      </c>
      <c r="U172" s="57">
        <v>44.09</v>
      </c>
      <c r="V172" s="31">
        <v>159300</v>
      </c>
      <c r="W172" s="31">
        <v>145600000000</v>
      </c>
    </row>
    <row r="173" spans="2:23" x14ac:dyDescent="0.25">
      <c r="B173" s="35" t="s">
        <v>375</v>
      </c>
      <c r="C173" s="56" t="s">
        <v>376</v>
      </c>
      <c r="D173" s="41">
        <v>224</v>
      </c>
      <c r="E173" s="41">
        <v>240</v>
      </c>
      <c r="F173" s="38">
        <v>6.5</v>
      </c>
      <c r="G173" s="38">
        <v>9</v>
      </c>
      <c r="H173" s="38">
        <v>21</v>
      </c>
      <c r="I173" s="30">
        <v>6040</v>
      </c>
      <c r="J173" s="38">
        <v>206</v>
      </c>
      <c r="K173" s="38">
        <v>164</v>
      </c>
      <c r="L173" s="31">
        <v>58350000</v>
      </c>
      <c r="M173" s="31">
        <v>521000</v>
      </c>
      <c r="N173" s="31">
        <v>570600</v>
      </c>
      <c r="O173" s="30">
        <v>98.3</v>
      </c>
      <c r="P173" s="30">
        <v>2154</v>
      </c>
      <c r="Q173" s="31">
        <v>20770000</v>
      </c>
      <c r="R173" s="31">
        <v>173100</v>
      </c>
      <c r="S173" s="31">
        <v>264400</v>
      </c>
      <c r="T173" s="30">
        <v>58.7</v>
      </c>
      <c r="U173" s="58">
        <v>49.1</v>
      </c>
      <c r="V173" s="31">
        <v>229800</v>
      </c>
      <c r="W173" s="31">
        <v>239600000000</v>
      </c>
    </row>
    <row r="174" spans="2:23" x14ac:dyDescent="0.25">
      <c r="B174" s="35" t="s">
        <v>377</v>
      </c>
      <c r="C174" s="56" t="s">
        <v>378</v>
      </c>
      <c r="D174" s="41">
        <v>244</v>
      </c>
      <c r="E174" s="41">
        <v>260</v>
      </c>
      <c r="F174" s="38">
        <v>6.5</v>
      </c>
      <c r="G174" s="38">
        <v>9.5</v>
      </c>
      <c r="H174" s="38">
        <v>24</v>
      </c>
      <c r="I174" s="30">
        <v>6900</v>
      </c>
      <c r="J174" s="38">
        <v>225</v>
      </c>
      <c r="K174" s="38">
        <v>177</v>
      </c>
      <c r="L174" s="31">
        <v>79810000</v>
      </c>
      <c r="M174" s="31">
        <v>654100</v>
      </c>
      <c r="N174" s="31">
        <v>714500</v>
      </c>
      <c r="O174" s="30">
        <v>107.6</v>
      </c>
      <c r="P174" s="30">
        <v>2475</v>
      </c>
      <c r="Q174" s="31">
        <v>27880000</v>
      </c>
      <c r="R174" s="31">
        <v>214500</v>
      </c>
      <c r="S174" s="31">
        <v>327700</v>
      </c>
      <c r="T174" s="30">
        <v>63.6</v>
      </c>
      <c r="U174" s="58">
        <v>53.62</v>
      </c>
      <c r="V174" s="31">
        <v>303100</v>
      </c>
      <c r="W174" s="31">
        <v>382600000000</v>
      </c>
    </row>
    <row r="175" spans="2:23" x14ac:dyDescent="0.25">
      <c r="B175" s="35" t="s">
        <v>379</v>
      </c>
      <c r="C175" s="56" t="s">
        <v>380</v>
      </c>
      <c r="D175" s="41">
        <v>264</v>
      </c>
      <c r="E175" s="41">
        <v>280</v>
      </c>
      <c r="F175" s="41">
        <v>7</v>
      </c>
      <c r="G175" s="41">
        <v>10</v>
      </c>
      <c r="H175" s="41">
        <v>24</v>
      </c>
      <c r="I175" s="30">
        <v>7800</v>
      </c>
      <c r="J175" s="41">
        <v>244</v>
      </c>
      <c r="K175" s="41">
        <v>196</v>
      </c>
      <c r="L175" s="31">
        <v>105600000</v>
      </c>
      <c r="M175" s="31">
        <v>799800</v>
      </c>
      <c r="N175" s="31">
        <v>873100</v>
      </c>
      <c r="O175" s="30">
        <v>116.30000000000001</v>
      </c>
      <c r="P175" s="30">
        <v>2752</v>
      </c>
      <c r="Q175" s="31">
        <v>36640000</v>
      </c>
      <c r="R175" s="31">
        <v>261700</v>
      </c>
      <c r="S175" s="31">
        <v>399400</v>
      </c>
      <c r="T175" s="30">
        <v>68.5</v>
      </c>
      <c r="U175" s="59">
        <v>55.12</v>
      </c>
      <c r="V175" s="31">
        <v>362200</v>
      </c>
      <c r="W175" s="31">
        <v>590100000000</v>
      </c>
    </row>
    <row r="176" spans="2:23" x14ac:dyDescent="0.25">
      <c r="B176" s="35" t="s">
        <v>381</v>
      </c>
      <c r="C176" s="56" t="s">
        <v>382</v>
      </c>
      <c r="D176" s="41">
        <v>283</v>
      </c>
      <c r="E176" s="41">
        <v>300</v>
      </c>
      <c r="F176" s="41">
        <v>7.5</v>
      </c>
      <c r="G176" s="41">
        <v>10.5</v>
      </c>
      <c r="H176" s="41">
        <v>27</v>
      </c>
      <c r="I176" s="30">
        <v>8890</v>
      </c>
      <c r="J176" s="41">
        <v>262</v>
      </c>
      <c r="K176" s="41">
        <v>208</v>
      </c>
      <c r="L176" s="31">
        <v>138000000</v>
      </c>
      <c r="M176" s="31">
        <v>975552.02</v>
      </c>
      <c r="N176" s="31">
        <v>1065000</v>
      </c>
      <c r="O176" s="30">
        <v>124.60000000000001</v>
      </c>
      <c r="P176" s="30">
        <v>3236.9999999999995</v>
      </c>
      <c r="Q176" s="31">
        <v>47340000</v>
      </c>
      <c r="R176" s="31">
        <v>315600</v>
      </c>
      <c r="S176" s="31">
        <v>482300</v>
      </c>
      <c r="T176" s="30">
        <v>73</v>
      </c>
      <c r="U176" s="59">
        <v>60.13</v>
      </c>
      <c r="V176" s="31">
        <v>493500</v>
      </c>
      <c r="W176" s="31">
        <v>877200000000</v>
      </c>
    </row>
    <row r="177" spans="2:23" x14ac:dyDescent="0.25">
      <c r="B177" s="35" t="s">
        <v>383</v>
      </c>
      <c r="C177" s="56" t="s">
        <v>384</v>
      </c>
      <c r="D177" s="41">
        <v>301</v>
      </c>
      <c r="E177" s="41">
        <v>300</v>
      </c>
      <c r="F177" s="41">
        <v>8</v>
      </c>
      <c r="G177" s="41">
        <v>11</v>
      </c>
      <c r="H177" s="41">
        <v>27</v>
      </c>
      <c r="I177" s="30">
        <v>9460</v>
      </c>
      <c r="J177" s="41">
        <v>279</v>
      </c>
      <c r="K177" s="41">
        <v>225</v>
      </c>
      <c r="L177" s="31">
        <v>164500000</v>
      </c>
      <c r="M177" s="31">
        <v>1092845.8500000001</v>
      </c>
      <c r="N177" s="31">
        <v>1196000</v>
      </c>
      <c r="O177" s="30">
        <v>131.9</v>
      </c>
      <c r="P177" s="30">
        <v>3540</v>
      </c>
      <c r="Q177" s="31">
        <v>49590000</v>
      </c>
      <c r="R177" s="31">
        <v>330600</v>
      </c>
      <c r="S177" s="31">
        <v>505700</v>
      </c>
      <c r="T177" s="30">
        <v>72.400000000000006</v>
      </c>
      <c r="U177" s="59">
        <v>61.63</v>
      </c>
      <c r="V177" s="31">
        <v>558700</v>
      </c>
      <c r="W177" s="31">
        <v>1041000000000</v>
      </c>
    </row>
    <row r="178" spans="2:23" x14ac:dyDescent="0.25">
      <c r="B178" s="35" t="s">
        <v>385</v>
      </c>
      <c r="C178" s="56" t="s">
        <v>386</v>
      </c>
      <c r="D178" s="41">
        <v>320</v>
      </c>
      <c r="E178" s="41">
        <v>300</v>
      </c>
      <c r="F178" s="41">
        <v>8.5</v>
      </c>
      <c r="G178" s="41">
        <v>11.5</v>
      </c>
      <c r="H178" s="41">
        <v>27</v>
      </c>
      <c r="I178" s="30">
        <v>10050</v>
      </c>
      <c r="J178" s="41">
        <v>297</v>
      </c>
      <c r="K178" s="41">
        <v>243</v>
      </c>
      <c r="L178" s="31">
        <v>195500000</v>
      </c>
      <c r="M178" s="31">
        <v>1222015.82</v>
      </c>
      <c r="N178" s="31">
        <v>1341000</v>
      </c>
      <c r="O178" s="30">
        <v>139.5</v>
      </c>
      <c r="P178" s="30">
        <v>3869</v>
      </c>
      <c r="Q178" s="31">
        <v>51850000</v>
      </c>
      <c r="R178" s="31">
        <v>345600</v>
      </c>
      <c r="S178" s="31">
        <v>529300</v>
      </c>
      <c r="T178" s="30">
        <v>71.8</v>
      </c>
      <c r="U178" s="59">
        <v>63.13</v>
      </c>
      <c r="V178" s="31">
        <v>630700</v>
      </c>
      <c r="W178" s="31">
        <v>1231000000000</v>
      </c>
    </row>
    <row r="179" spans="2:23" x14ac:dyDescent="0.25">
      <c r="B179" s="51" t="s">
        <v>387</v>
      </c>
      <c r="C179" s="60" t="s">
        <v>388</v>
      </c>
      <c r="D179" s="37">
        <v>339</v>
      </c>
      <c r="E179" s="37">
        <v>300</v>
      </c>
      <c r="F179" s="37">
        <v>9</v>
      </c>
      <c r="G179" s="37">
        <v>12</v>
      </c>
      <c r="H179" s="37">
        <v>27</v>
      </c>
      <c r="I179" s="30">
        <v>10660</v>
      </c>
      <c r="J179" s="37">
        <v>315</v>
      </c>
      <c r="K179" s="37">
        <v>261</v>
      </c>
      <c r="L179" s="31">
        <v>230400000</v>
      </c>
      <c r="M179" s="31">
        <v>1359134.71</v>
      </c>
      <c r="N179" s="31">
        <v>1495000</v>
      </c>
      <c r="O179" s="30">
        <v>147</v>
      </c>
      <c r="P179" s="30">
        <v>4217</v>
      </c>
      <c r="Q179" s="31">
        <v>54100000</v>
      </c>
      <c r="R179" s="31">
        <v>360700</v>
      </c>
      <c r="S179" s="31">
        <v>553000</v>
      </c>
      <c r="T179" s="30">
        <v>71.2</v>
      </c>
      <c r="U179" s="61">
        <v>64.63</v>
      </c>
      <c r="V179" s="31">
        <v>709900</v>
      </c>
      <c r="W179" s="31">
        <v>1444000000000</v>
      </c>
    </row>
    <row r="180" spans="2:23" x14ac:dyDescent="0.25">
      <c r="B180" s="35" t="s">
        <v>389</v>
      </c>
      <c r="C180" s="56" t="s">
        <v>390</v>
      </c>
      <c r="D180" s="41">
        <v>378</v>
      </c>
      <c r="E180" s="41">
        <v>300</v>
      </c>
      <c r="F180" s="41">
        <v>9.5</v>
      </c>
      <c r="G180" s="41">
        <v>13</v>
      </c>
      <c r="H180" s="41">
        <v>27</v>
      </c>
      <c r="I180" s="30">
        <v>11770</v>
      </c>
      <c r="J180" s="41">
        <v>352</v>
      </c>
      <c r="K180" s="41">
        <v>298</v>
      </c>
      <c r="L180" s="31">
        <v>312500000</v>
      </c>
      <c r="M180" s="31">
        <v>1654000</v>
      </c>
      <c r="N180" s="31">
        <v>1824000</v>
      </c>
      <c r="O180" s="30">
        <v>163</v>
      </c>
      <c r="P180" s="30">
        <v>4795</v>
      </c>
      <c r="Q180" s="31">
        <v>58610000</v>
      </c>
      <c r="R180" s="31">
        <v>390800</v>
      </c>
      <c r="S180" s="31">
        <v>599700</v>
      </c>
      <c r="T180" s="30">
        <v>70.599999999999994</v>
      </c>
      <c r="U180" s="59">
        <v>67.13</v>
      </c>
      <c r="V180" s="31">
        <v>846900</v>
      </c>
      <c r="W180" s="31">
        <v>1948000000000</v>
      </c>
    </row>
    <row r="181" spans="2:23" x14ac:dyDescent="0.25">
      <c r="B181" s="35" t="s">
        <v>391</v>
      </c>
      <c r="C181" s="56" t="s">
        <v>392</v>
      </c>
      <c r="D181" s="41">
        <v>425</v>
      </c>
      <c r="E181" s="41">
        <v>300</v>
      </c>
      <c r="F181" s="41">
        <v>10</v>
      </c>
      <c r="G181" s="41">
        <v>13.5</v>
      </c>
      <c r="H181" s="41">
        <v>27</v>
      </c>
      <c r="I181" s="30">
        <v>12710</v>
      </c>
      <c r="J181" s="41">
        <v>398</v>
      </c>
      <c r="K181" s="41">
        <v>344</v>
      </c>
      <c r="L181" s="31">
        <v>418900000</v>
      </c>
      <c r="M181" s="31">
        <v>1971180.49</v>
      </c>
      <c r="N181" s="31">
        <v>2183000</v>
      </c>
      <c r="O181" s="30">
        <v>181.6</v>
      </c>
      <c r="P181" s="30">
        <v>5470</v>
      </c>
      <c r="Q181" s="31">
        <v>60880000</v>
      </c>
      <c r="R181" s="31">
        <v>405800</v>
      </c>
      <c r="S181" s="31">
        <v>624400</v>
      </c>
      <c r="T181" s="30">
        <v>69.2</v>
      </c>
      <c r="U181" s="59">
        <v>68.63</v>
      </c>
      <c r="V181" s="31">
        <v>956100</v>
      </c>
      <c r="W181" s="31">
        <v>2572000000000</v>
      </c>
    </row>
    <row r="182" spans="2:23" x14ac:dyDescent="0.25">
      <c r="B182" s="35" t="s">
        <v>393</v>
      </c>
      <c r="C182" s="56">
        <v>107</v>
      </c>
      <c r="D182" s="41">
        <v>472</v>
      </c>
      <c r="E182" s="41">
        <v>300</v>
      </c>
      <c r="F182" s="41">
        <v>10.5</v>
      </c>
      <c r="G182" s="41">
        <v>14</v>
      </c>
      <c r="H182" s="41">
        <v>27</v>
      </c>
      <c r="I182" s="30">
        <v>13690</v>
      </c>
      <c r="J182" s="41">
        <v>444</v>
      </c>
      <c r="K182" s="41">
        <v>390</v>
      </c>
      <c r="L182" s="31">
        <v>546400000</v>
      </c>
      <c r="M182" s="31">
        <v>2315391.4300000002</v>
      </c>
      <c r="N182" s="31">
        <v>2576000</v>
      </c>
      <c r="O182" s="30">
        <v>199.8</v>
      </c>
      <c r="P182" s="30">
        <v>6191</v>
      </c>
      <c r="Q182" s="31">
        <v>63140000</v>
      </c>
      <c r="R182" s="31">
        <v>420900</v>
      </c>
      <c r="S182" s="31">
        <v>649300</v>
      </c>
      <c r="T182" s="30">
        <v>67.900000000000006</v>
      </c>
      <c r="U182" s="61">
        <v>70.13</v>
      </c>
      <c r="V182" s="31">
        <v>1077000</v>
      </c>
      <c r="W182" s="31">
        <v>3304000000000</v>
      </c>
    </row>
    <row r="183" spans="2:23" x14ac:dyDescent="0.25">
      <c r="B183" s="35" t="s">
        <v>394</v>
      </c>
      <c r="C183" s="56">
        <v>120</v>
      </c>
      <c r="D183" s="41">
        <v>522</v>
      </c>
      <c r="E183" s="41">
        <v>300</v>
      </c>
      <c r="F183" s="41">
        <v>11.5</v>
      </c>
      <c r="G183" s="41">
        <v>15</v>
      </c>
      <c r="H183" s="41">
        <v>27</v>
      </c>
      <c r="I183" s="30">
        <v>15280.000000000002</v>
      </c>
      <c r="J183" s="41">
        <v>492</v>
      </c>
      <c r="K183" s="41">
        <v>438</v>
      </c>
      <c r="L183" s="31">
        <v>728700000</v>
      </c>
      <c r="M183" s="31">
        <v>2792004.32</v>
      </c>
      <c r="N183" s="31">
        <v>3128000</v>
      </c>
      <c r="O183" s="30">
        <v>218.4</v>
      </c>
      <c r="P183" s="30">
        <v>7266</v>
      </c>
      <c r="Q183" s="31">
        <v>67670000</v>
      </c>
      <c r="R183" s="31">
        <v>451100</v>
      </c>
      <c r="S183" s="31">
        <v>698600</v>
      </c>
      <c r="T183" s="30">
        <v>66.5</v>
      </c>
      <c r="U183" s="59">
        <v>73.13</v>
      </c>
      <c r="V183" s="31">
        <v>1337000</v>
      </c>
      <c r="W183" s="31">
        <v>4338000000000</v>
      </c>
    </row>
    <row r="184" spans="2:23" x14ac:dyDescent="0.25">
      <c r="B184" s="51" t="s">
        <v>395</v>
      </c>
      <c r="C184" s="62">
        <v>129</v>
      </c>
      <c r="D184" s="37">
        <v>571</v>
      </c>
      <c r="E184" s="37">
        <v>300</v>
      </c>
      <c r="F184" s="37">
        <v>12</v>
      </c>
      <c r="G184" s="37">
        <v>15.5</v>
      </c>
      <c r="H184" s="37">
        <v>27</v>
      </c>
      <c r="I184" s="30">
        <v>16410</v>
      </c>
      <c r="J184" s="37">
        <v>540</v>
      </c>
      <c r="K184" s="37">
        <v>486</v>
      </c>
      <c r="L184" s="31">
        <v>919000000</v>
      </c>
      <c r="M184" s="31">
        <v>3218000</v>
      </c>
      <c r="N184" s="31">
        <v>3623000</v>
      </c>
      <c r="O184" s="30">
        <v>236.6</v>
      </c>
      <c r="P184" s="30">
        <v>8129.0000000000009</v>
      </c>
      <c r="Q184" s="31">
        <v>69930000</v>
      </c>
      <c r="R184" s="31">
        <v>466200</v>
      </c>
      <c r="S184" s="31">
        <v>724500</v>
      </c>
      <c r="T184" s="30">
        <v>65.3</v>
      </c>
      <c r="U184" s="61">
        <v>74.63</v>
      </c>
      <c r="V184" s="31">
        <v>1498000</v>
      </c>
      <c r="W184" s="31">
        <v>5381000000000</v>
      </c>
    </row>
    <row r="185" spans="2:23" x14ac:dyDescent="0.25">
      <c r="B185" s="24" t="s">
        <v>396</v>
      </c>
      <c r="C185" s="32">
        <v>138</v>
      </c>
      <c r="D185" s="33">
        <v>620</v>
      </c>
      <c r="E185" s="33">
        <v>300</v>
      </c>
      <c r="F185" s="33">
        <v>12.5</v>
      </c>
      <c r="G185" s="33">
        <v>16</v>
      </c>
      <c r="H185" s="50">
        <v>27</v>
      </c>
      <c r="I185" s="30">
        <v>17580</v>
      </c>
      <c r="J185" s="33">
        <v>588</v>
      </c>
      <c r="K185" s="33">
        <v>534</v>
      </c>
      <c r="L185" s="31">
        <v>1139000000</v>
      </c>
      <c r="M185" s="31">
        <v>3676000</v>
      </c>
      <c r="N185" s="31">
        <v>4160000</v>
      </c>
      <c r="O185" s="30">
        <v>254.60000000000002</v>
      </c>
      <c r="P185" s="30">
        <v>9040</v>
      </c>
      <c r="Q185" s="31">
        <v>72210000</v>
      </c>
      <c r="R185" s="31">
        <v>481400</v>
      </c>
      <c r="S185" s="31">
        <v>750700</v>
      </c>
      <c r="T185" s="30">
        <v>64.099999999999994</v>
      </c>
      <c r="U185" s="33">
        <v>76.13</v>
      </c>
      <c r="V185" s="31">
        <v>1675000</v>
      </c>
      <c r="W185" s="31">
        <v>6567000000000</v>
      </c>
    </row>
    <row r="186" spans="2:23" x14ac:dyDescent="0.25">
      <c r="B186" s="24" t="s">
        <v>397</v>
      </c>
      <c r="C186" s="32">
        <v>150</v>
      </c>
      <c r="D186" s="33">
        <v>670</v>
      </c>
      <c r="E186" s="33">
        <v>300</v>
      </c>
      <c r="F186" s="33">
        <v>13</v>
      </c>
      <c r="G186" s="33">
        <v>17</v>
      </c>
      <c r="H186" s="50">
        <v>27</v>
      </c>
      <c r="I186" s="30">
        <v>19090</v>
      </c>
      <c r="J186" s="33">
        <v>636</v>
      </c>
      <c r="K186" s="33">
        <v>582</v>
      </c>
      <c r="L186" s="31">
        <v>1427000000</v>
      </c>
      <c r="M186" s="31">
        <v>4260000</v>
      </c>
      <c r="N186" s="31">
        <v>4840000</v>
      </c>
      <c r="O186" s="30">
        <v>273.39999999999998</v>
      </c>
      <c r="P186" s="30">
        <v>10030</v>
      </c>
      <c r="Q186" s="31">
        <v>76730000</v>
      </c>
      <c r="R186" s="31">
        <v>511500</v>
      </c>
      <c r="S186" s="31">
        <v>799700</v>
      </c>
      <c r="T186" s="30">
        <v>63.4</v>
      </c>
      <c r="U186" s="33">
        <v>78.63</v>
      </c>
      <c r="V186" s="31">
        <v>1952000</v>
      </c>
      <c r="W186" s="31">
        <v>8155000000000</v>
      </c>
    </row>
    <row r="187" spans="2:23" x14ac:dyDescent="0.25">
      <c r="B187" s="24" t="s">
        <v>398</v>
      </c>
      <c r="C187" s="32">
        <v>172</v>
      </c>
      <c r="D187" s="33">
        <v>770</v>
      </c>
      <c r="E187" s="33">
        <v>300</v>
      </c>
      <c r="F187" s="33">
        <v>14</v>
      </c>
      <c r="G187" s="33">
        <v>18</v>
      </c>
      <c r="H187" s="50">
        <v>30</v>
      </c>
      <c r="I187" s="30">
        <v>21850</v>
      </c>
      <c r="J187" s="33">
        <v>734</v>
      </c>
      <c r="K187" s="33">
        <v>674</v>
      </c>
      <c r="L187" s="31">
        <v>2089000000</v>
      </c>
      <c r="M187" s="31">
        <v>5425509.1600000001</v>
      </c>
      <c r="N187" s="31">
        <v>6225000</v>
      </c>
      <c r="O187" s="30">
        <v>309.20000000000005</v>
      </c>
      <c r="P187" s="30">
        <v>12380</v>
      </c>
      <c r="Q187" s="31">
        <v>81340000</v>
      </c>
      <c r="R187" s="31">
        <v>542200</v>
      </c>
      <c r="S187" s="31">
        <v>856600</v>
      </c>
      <c r="T187" s="30">
        <v>61</v>
      </c>
      <c r="U187" s="33">
        <v>85.15</v>
      </c>
      <c r="V187" s="31">
        <v>2568000</v>
      </c>
      <c r="W187" s="31">
        <v>11450000000000</v>
      </c>
    </row>
    <row r="188" spans="2:23" x14ac:dyDescent="0.25">
      <c r="B188" s="24" t="s">
        <v>399</v>
      </c>
      <c r="C188" s="32">
        <v>198</v>
      </c>
      <c r="D188" s="33">
        <v>870</v>
      </c>
      <c r="E188" s="33">
        <v>300</v>
      </c>
      <c r="F188" s="33">
        <v>15</v>
      </c>
      <c r="G188" s="33">
        <v>20</v>
      </c>
      <c r="H188" s="50">
        <v>30</v>
      </c>
      <c r="I188" s="30">
        <v>25220</v>
      </c>
      <c r="J188" s="33">
        <v>830</v>
      </c>
      <c r="K188" s="33">
        <v>770</v>
      </c>
      <c r="L188" s="31">
        <v>3011000000</v>
      </c>
      <c r="M188" s="31">
        <v>6922872.2000000002</v>
      </c>
      <c r="N188" s="31">
        <v>7999000</v>
      </c>
      <c r="O188" s="30">
        <v>345.5</v>
      </c>
      <c r="P188" s="30">
        <v>14719.999999999998</v>
      </c>
      <c r="Q188" s="31">
        <v>90410000</v>
      </c>
      <c r="R188" s="31">
        <v>602800</v>
      </c>
      <c r="S188" s="31">
        <v>957700</v>
      </c>
      <c r="T188" s="30">
        <v>59.900000000000006</v>
      </c>
      <c r="U188" s="33">
        <v>90.15</v>
      </c>
      <c r="V188" s="31">
        <v>3349000</v>
      </c>
      <c r="W188" s="31">
        <v>16260000000000</v>
      </c>
    </row>
    <row r="189" spans="2:23" x14ac:dyDescent="0.25">
      <c r="B189" s="24" t="s">
        <v>400</v>
      </c>
      <c r="C189" s="25" t="s">
        <v>401</v>
      </c>
      <c r="D189" s="27">
        <v>100</v>
      </c>
      <c r="E189" s="27">
        <v>100</v>
      </c>
      <c r="F189" s="28">
        <v>6</v>
      </c>
      <c r="G189" s="28">
        <v>10</v>
      </c>
      <c r="H189" s="29">
        <v>12</v>
      </c>
      <c r="I189" s="30">
        <v>2600</v>
      </c>
      <c r="J189" s="28">
        <v>80</v>
      </c>
      <c r="K189" s="28">
        <v>56</v>
      </c>
      <c r="L189" s="31">
        <v>4495000</v>
      </c>
      <c r="M189" s="31">
        <v>89910</v>
      </c>
      <c r="N189" s="31">
        <v>104200</v>
      </c>
      <c r="O189" s="30">
        <v>41.6</v>
      </c>
      <c r="P189" s="30">
        <v>903.99999999999989</v>
      </c>
      <c r="Q189" s="31">
        <v>1673000</v>
      </c>
      <c r="R189" s="31">
        <v>33450</v>
      </c>
      <c r="S189" s="31">
        <v>51420</v>
      </c>
      <c r="T189" s="30">
        <v>25.299999999999997</v>
      </c>
      <c r="U189" s="28">
        <v>40.06</v>
      </c>
      <c r="V189" s="31">
        <v>92500</v>
      </c>
      <c r="W189" s="31">
        <v>3380000000</v>
      </c>
    </row>
    <row r="190" spans="2:23" x14ac:dyDescent="0.25">
      <c r="B190" s="24" t="s">
        <v>402</v>
      </c>
      <c r="C190" s="32">
        <v>314</v>
      </c>
      <c r="D190" s="33">
        <v>1000</v>
      </c>
      <c r="E190" s="33">
        <v>300</v>
      </c>
      <c r="F190" s="33">
        <v>19</v>
      </c>
      <c r="G190" s="33">
        <v>36</v>
      </c>
      <c r="H190" s="50">
        <v>30</v>
      </c>
      <c r="I190" s="30">
        <v>40000</v>
      </c>
      <c r="J190" s="33">
        <v>928</v>
      </c>
      <c r="K190" s="33">
        <v>868</v>
      </c>
      <c r="L190" s="31">
        <v>6447000000</v>
      </c>
      <c r="M190" s="31">
        <v>12890000</v>
      </c>
      <c r="N190" s="31">
        <v>14860000</v>
      </c>
      <c r="O190" s="30">
        <v>401.5</v>
      </c>
      <c r="P190" s="30">
        <v>21250</v>
      </c>
      <c r="Q190" s="31">
        <v>162800000</v>
      </c>
      <c r="R190" s="31">
        <v>1085050.2</v>
      </c>
      <c r="S190" s="31">
        <v>1716000</v>
      </c>
      <c r="T190" s="30">
        <v>63.8</v>
      </c>
      <c r="U190" s="33">
        <v>126.1</v>
      </c>
      <c r="V190" s="31">
        <v>12540000</v>
      </c>
      <c r="W190" s="31">
        <v>37640000000000</v>
      </c>
    </row>
    <row r="191" spans="2:23" x14ac:dyDescent="0.25">
      <c r="B191" s="24" t="s">
        <v>403</v>
      </c>
      <c r="C191" s="32" t="s">
        <v>404</v>
      </c>
      <c r="D191" s="33">
        <v>120</v>
      </c>
      <c r="E191" s="33">
        <v>120</v>
      </c>
      <c r="F191" s="28">
        <v>6.5</v>
      </c>
      <c r="G191" s="28">
        <v>11</v>
      </c>
      <c r="H191" s="29">
        <v>12</v>
      </c>
      <c r="I191" s="30">
        <v>3400</v>
      </c>
      <c r="J191" s="28">
        <v>98</v>
      </c>
      <c r="K191" s="28">
        <v>74</v>
      </c>
      <c r="L191" s="31">
        <v>8644000</v>
      </c>
      <c r="M191" s="31">
        <v>144100</v>
      </c>
      <c r="N191" s="31">
        <v>165200</v>
      </c>
      <c r="O191" s="30">
        <v>50.4</v>
      </c>
      <c r="P191" s="30">
        <v>1096</v>
      </c>
      <c r="Q191" s="31">
        <v>3175000</v>
      </c>
      <c r="R191" s="31">
        <v>52920</v>
      </c>
      <c r="S191" s="31">
        <v>80970</v>
      </c>
      <c r="T191" s="30">
        <v>30.6</v>
      </c>
      <c r="U191" s="34">
        <v>42.56</v>
      </c>
      <c r="V191" s="31">
        <v>138400</v>
      </c>
      <c r="W191" s="31">
        <v>9410000000</v>
      </c>
    </row>
    <row r="192" spans="2:23" x14ac:dyDescent="0.25">
      <c r="B192" s="24" t="s">
        <v>405</v>
      </c>
      <c r="C192" s="32" t="s">
        <v>406</v>
      </c>
      <c r="D192" s="33">
        <v>140</v>
      </c>
      <c r="E192" s="33">
        <v>140</v>
      </c>
      <c r="F192" s="28">
        <v>7</v>
      </c>
      <c r="G192" s="28">
        <v>12</v>
      </c>
      <c r="H192" s="29">
        <v>12</v>
      </c>
      <c r="I192" s="30">
        <v>4300</v>
      </c>
      <c r="J192" s="28">
        <v>116</v>
      </c>
      <c r="K192" s="28">
        <v>92</v>
      </c>
      <c r="L192" s="31">
        <v>15090000</v>
      </c>
      <c r="M192" s="31">
        <v>215600</v>
      </c>
      <c r="N192" s="31">
        <v>245400</v>
      </c>
      <c r="O192" s="30">
        <v>59.3</v>
      </c>
      <c r="P192" s="30">
        <v>1308</v>
      </c>
      <c r="Q192" s="31">
        <v>5497000</v>
      </c>
      <c r="R192" s="31">
        <v>78520</v>
      </c>
      <c r="S192" s="31">
        <v>119800</v>
      </c>
      <c r="T192" s="30">
        <v>35.799999999999997</v>
      </c>
      <c r="U192" s="34">
        <v>45.06</v>
      </c>
      <c r="V192" s="31">
        <v>200600</v>
      </c>
      <c r="W192" s="31">
        <v>22480000000</v>
      </c>
    </row>
    <row r="193" spans="2:23" x14ac:dyDescent="0.25">
      <c r="B193" s="24" t="s">
        <v>407</v>
      </c>
      <c r="C193" s="32" t="s">
        <v>408</v>
      </c>
      <c r="D193" s="33">
        <v>160</v>
      </c>
      <c r="E193" s="33">
        <v>160</v>
      </c>
      <c r="F193" s="28">
        <v>8</v>
      </c>
      <c r="G193" s="28">
        <v>13</v>
      </c>
      <c r="H193" s="29">
        <v>15</v>
      </c>
      <c r="I193" s="30">
        <v>5430</v>
      </c>
      <c r="J193" s="28">
        <v>134</v>
      </c>
      <c r="K193" s="28">
        <v>104</v>
      </c>
      <c r="L193" s="31">
        <v>24920000</v>
      </c>
      <c r="M193" s="31">
        <v>311499.78000000003</v>
      </c>
      <c r="N193" s="31">
        <v>354000</v>
      </c>
      <c r="O193" s="30">
        <v>67.8</v>
      </c>
      <c r="P193" s="30">
        <v>1759</v>
      </c>
      <c r="Q193" s="31">
        <v>8892000</v>
      </c>
      <c r="R193" s="31">
        <v>111200</v>
      </c>
      <c r="S193" s="31">
        <v>170000</v>
      </c>
      <c r="T193" s="30">
        <v>40.5</v>
      </c>
      <c r="U193" s="34">
        <v>51.57</v>
      </c>
      <c r="V193" s="31">
        <v>312400</v>
      </c>
      <c r="W193" s="31">
        <v>47940000000</v>
      </c>
    </row>
    <row r="194" spans="2:23" x14ac:dyDescent="0.25">
      <c r="B194" s="24" t="s">
        <v>409</v>
      </c>
      <c r="C194" s="32" t="s">
        <v>410</v>
      </c>
      <c r="D194" s="33">
        <v>180</v>
      </c>
      <c r="E194" s="33">
        <v>180</v>
      </c>
      <c r="F194" s="28">
        <v>8.5</v>
      </c>
      <c r="G194" s="28">
        <v>14</v>
      </c>
      <c r="H194" s="29">
        <v>15</v>
      </c>
      <c r="I194" s="30">
        <v>6530</v>
      </c>
      <c r="J194" s="28">
        <v>152</v>
      </c>
      <c r="K194" s="28">
        <v>122</v>
      </c>
      <c r="L194" s="31">
        <v>38310000</v>
      </c>
      <c r="M194" s="31">
        <v>425700</v>
      </c>
      <c r="N194" s="31">
        <v>481400</v>
      </c>
      <c r="O194" s="30">
        <v>76.599999999999994</v>
      </c>
      <c r="P194" s="30">
        <v>2023.9999999999998</v>
      </c>
      <c r="Q194" s="31">
        <v>13630000</v>
      </c>
      <c r="R194" s="31">
        <v>151400</v>
      </c>
      <c r="S194" s="31">
        <v>231000</v>
      </c>
      <c r="T194" s="30">
        <v>45.7</v>
      </c>
      <c r="U194" s="34">
        <v>54.07</v>
      </c>
      <c r="V194" s="31">
        <v>421599.99999999994</v>
      </c>
      <c r="W194" s="31">
        <v>93750000000</v>
      </c>
    </row>
    <row r="195" spans="2:23" x14ac:dyDescent="0.25">
      <c r="B195" s="24" t="s">
        <v>411</v>
      </c>
      <c r="C195" s="32" t="s">
        <v>412</v>
      </c>
      <c r="D195" s="33">
        <v>200</v>
      </c>
      <c r="E195" s="33">
        <v>200</v>
      </c>
      <c r="F195" s="28">
        <v>9</v>
      </c>
      <c r="G195" s="28">
        <v>15</v>
      </c>
      <c r="H195" s="29">
        <v>18</v>
      </c>
      <c r="I195" s="30">
        <v>7809.9999999999991</v>
      </c>
      <c r="J195" s="28">
        <v>170</v>
      </c>
      <c r="K195" s="28">
        <v>134</v>
      </c>
      <c r="L195" s="31">
        <v>56960000</v>
      </c>
      <c r="M195" s="31">
        <v>569600</v>
      </c>
      <c r="N195" s="31">
        <v>642500</v>
      </c>
      <c r="O195" s="30">
        <v>85.399999999999991</v>
      </c>
      <c r="P195" s="30">
        <v>2483</v>
      </c>
      <c r="Q195" s="31">
        <v>20030000</v>
      </c>
      <c r="R195" s="31">
        <v>200300</v>
      </c>
      <c r="S195" s="31">
        <v>305800</v>
      </c>
      <c r="T195" s="30">
        <v>50.7</v>
      </c>
      <c r="U195" s="34">
        <v>60.09</v>
      </c>
      <c r="V195" s="31">
        <v>592800</v>
      </c>
      <c r="W195" s="31">
        <v>171100000000</v>
      </c>
    </row>
    <row r="196" spans="2:23" x14ac:dyDescent="0.25">
      <c r="B196" s="24" t="s">
        <v>413</v>
      </c>
      <c r="C196" s="32" t="s">
        <v>414</v>
      </c>
      <c r="D196" s="33">
        <v>220</v>
      </c>
      <c r="E196" s="33">
        <v>220</v>
      </c>
      <c r="F196" s="28">
        <v>9.5</v>
      </c>
      <c r="G196" s="28">
        <v>16</v>
      </c>
      <c r="H196" s="29">
        <v>18</v>
      </c>
      <c r="I196" s="30">
        <v>9100</v>
      </c>
      <c r="J196" s="28">
        <v>188</v>
      </c>
      <c r="K196" s="28">
        <v>152</v>
      </c>
      <c r="L196" s="31">
        <v>80910000</v>
      </c>
      <c r="M196" s="31">
        <v>735500</v>
      </c>
      <c r="N196" s="31">
        <v>827000</v>
      </c>
      <c r="O196" s="30">
        <v>94.3</v>
      </c>
      <c r="P196" s="30">
        <v>2792</v>
      </c>
      <c r="Q196" s="31">
        <v>28430000</v>
      </c>
      <c r="R196" s="31">
        <v>258478.59</v>
      </c>
      <c r="S196" s="31">
        <v>393900</v>
      </c>
      <c r="T196" s="30">
        <v>55.9</v>
      </c>
      <c r="U196" s="34">
        <v>62.59</v>
      </c>
      <c r="V196" s="31">
        <v>765699.99999999988</v>
      </c>
      <c r="W196" s="31">
        <v>295400000000</v>
      </c>
    </row>
    <row r="197" spans="2:23" x14ac:dyDescent="0.25">
      <c r="B197" s="24" t="s">
        <v>415</v>
      </c>
      <c r="C197" s="32" t="s">
        <v>416</v>
      </c>
      <c r="D197" s="33">
        <v>240</v>
      </c>
      <c r="E197" s="33">
        <v>240</v>
      </c>
      <c r="F197" s="28">
        <v>10</v>
      </c>
      <c r="G197" s="28">
        <v>17</v>
      </c>
      <c r="H197" s="29">
        <v>21</v>
      </c>
      <c r="I197" s="30">
        <v>10600</v>
      </c>
      <c r="J197" s="28">
        <v>206</v>
      </c>
      <c r="K197" s="28">
        <v>164</v>
      </c>
      <c r="L197" s="31">
        <v>112600000</v>
      </c>
      <c r="M197" s="31">
        <v>938300</v>
      </c>
      <c r="N197" s="31">
        <v>1053000</v>
      </c>
      <c r="O197" s="30">
        <v>103.10000000000001</v>
      </c>
      <c r="P197" s="30">
        <v>3322.9999999999995</v>
      </c>
      <c r="Q197" s="31">
        <v>39230000</v>
      </c>
      <c r="R197" s="31">
        <v>326900</v>
      </c>
      <c r="S197" s="31">
        <v>498400</v>
      </c>
      <c r="T197" s="30">
        <v>60.8</v>
      </c>
      <c r="U197" s="34">
        <v>68.599999999999994</v>
      </c>
      <c r="V197" s="31">
        <v>1027000</v>
      </c>
      <c r="W197" s="31">
        <v>486900000000</v>
      </c>
    </row>
    <row r="198" spans="2:23" x14ac:dyDescent="0.25">
      <c r="B198" s="24" t="s">
        <v>417</v>
      </c>
      <c r="C198" s="32">
        <v>93</v>
      </c>
      <c r="D198" s="33">
        <v>260</v>
      </c>
      <c r="E198" s="33">
        <v>260</v>
      </c>
      <c r="F198" s="33">
        <v>10</v>
      </c>
      <c r="G198" s="33">
        <v>17.5</v>
      </c>
      <c r="H198" s="50">
        <v>24</v>
      </c>
      <c r="I198" s="30">
        <v>11840</v>
      </c>
      <c r="J198" s="33">
        <v>225</v>
      </c>
      <c r="K198" s="33">
        <v>177</v>
      </c>
      <c r="L198" s="31">
        <v>149200000</v>
      </c>
      <c r="M198" s="31">
        <v>1147646.75</v>
      </c>
      <c r="N198" s="31">
        <v>1283000</v>
      </c>
      <c r="O198" s="30">
        <v>112.2</v>
      </c>
      <c r="P198" s="30">
        <v>3759.0000000000005</v>
      </c>
      <c r="Q198" s="31">
        <v>51350000</v>
      </c>
      <c r="R198" s="31">
        <v>395000</v>
      </c>
      <c r="S198" s="31">
        <v>602200</v>
      </c>
      <c r="T198" s="30">
        <v>65.8</v>
      </c>
      <c r="U198" s="33">
        <v>73.12</v>
      </c>
      <c r="V198" s="31">
        <v>1238000</v>
      </c>
      <c r="W198" s="31">
        <v>753700000000</v>
      </c>
    </row>
    <row r="199" spans="2:23" x14ac:dyDescent="0.25">
      <c r="B199" s="24" t="s">
        <v>418</v>
      </c>
      <c r="C199" s="32">
        <v>103</v>
      </c>
      <c r="D199" s="33">
        <v>280</v>
      </c>
      <c r="E199" s="33">
        <v>280</v>
      </c>
      <c r="F199" s="33">
        <v>10.5</v>
      </c>
      <c r="G199" s="33">
        <v>18</v>
      </c>
      <c r="H199" s="50">
        <v>24</v>
      </c>
      <c r="I199" s="30">
        <v>13140</v>
      </c>
      <c r="J199" s="33">
        <v>244</v>
      </c>
      <c r="K199" s="33">
        <v>196</v>
      </c>
      <c r="L199" s="31">
        <v>192700000</v>
      </c>
      <c r="M199" s="31">
        <v>1376446.6</v>
      </c>
      <c r="N199" s="31">
        <v>1534000</v>
      </c>
      <c r="O199" s="30">
        <v>121.1</v>
      </c>
      <c r="P199" s="30">
        <v>4109</v>
      </c>
      <c r="Q199" s="31">
        <v>65950000</v>
      </c>
      <c r="R199" s="31">
        <v>471000</v>
      </c>
      <c r="S199" s="31">
        <v>717600</v>
      </c>
      <c r="T199" s="30">
        <v>70.900000000000006</v>
      </c>
      <c r="U199" s="33">
        <v>74.62</v>
      </c>
      <c r="V199" s="31">
        <v>1437000</v>
      </c>
      <c r="W199" s="31">
        <v>1130000000000</v>
      </c>
    </row>
    <row r="200" spans="2:23" x14ac:dyDescent="0.25">
      <c r="B200" s="24" t="s">
        <v>419</v>
      </c>
      <c r="C200" s="32">
        <v>117</v>
      </c>
      <c r="D200" s="33">
        <v>300</v>
      </c>
      <c r="E200" s="33">
        <v>300</v>
      </c>
      <c r="F200" s="33">
        <v>11</v>
      </c>
      <c r="G200" s="33">
        <v>19</v>
      </c>
      <c r="H200" s="50">
        <v>27</v>
      </c>
      <c r="I200" s="30">
        <v>14910</v>
      </c>
      <c r="J200" s="33">
        <v>262</v>
      </c>
      <c r="K200" s="33">
        <v>208</v>
      </c>
      <c r="L200" s="31">
        <v>251700000</v>
      </c>
      <c r="M200" s="31">
        <v>1677709.88</v>
      </c>
      <c r="N200" s="31">
        <v>1869000</v>
      </c>
      <c r="O200" s="30">
        <v>129.9</v>
      </c>
      <c r="P200" s="30">
        <v>4743</v>
      </c>
      <c r="Q200" s="31">
        <v>85630000</v>
      </c>
      <c r="R200" s="31">
        <v>570900</v>
      </c>
      <c r="S200" s="31">
        <v>870100</v>
      </c>
      <c r="T200" s="30">
        <v>75.8</v>
      </c>
      <c r="U200" s="33">
        <v>80.63</v>
      </c>
      <c r="V200" s="31">
        <v>1850000</v>
      </c>
      <c r="W200" s="31">
        <v>1688000000000</v>
      </c>
    </row>
    <row r="201" spans="2:23" x14ac:dyDescent="0.25">
      <c r="B201" s="24" t="s">
        <v>420</v>
      </c>
      <c r="C201" s="32">
        <v>127</v>
      </c>
      <c r="D201" s="33">
        <v>320</v>
      </c>
      <c r="E201" s="33">
        <v>300</v>
      </c>
      <c r="F201" s="33">
        <v>11.5</v>
      </c>
      <c r="G201" s="33">
        <v>20.5</v>
      </c>
      <c r="H201" s="50">
        <v>27</v>
      </c>
      <c r="I201" s="30">
        <v>16130.000000000002</v>
      </c>
      <c r="J201" s="33">
        <v>279</v>
      </c>
      <c r="K201" s="33">
        <v>225</v>
      </c>
      <c r="L201" s="31">
        <v>308200000</v>
      </c>
      <c r="M201" s="31">
        <v>1926469.29</v>
      </c>
      <c r="N201" s="31">
        <v>2149000</v>
      </c>
      <c r="O201" s="30">
        <v>138.19999999999999</v>
      </c>
      <c r="P201" s="30">
        <v>5177</v>
      </c>
      <c r="Q201" s="31">
        <v>92390000</v>
      </c>
      <c r="R201" s="31">
        <v>615900</v>
      </c>
      <c r="S201" s="31">
        <v>939100</v>
      </c>
      <c r="T201" s="30">
        <v>75.7</v>
      </c>
      <c r="U201" s="33">
        <v>84.13</v>
      </c>
      <c r="V201" s="31">
        <v>2251000</v>
      </c>
      <c r="W201" s="31">
        <v>2069000000000</v>
      </c>
    </row>
    <row r="202" spans="2:23" x14ac:dyDescent="0.25">
      <c r="B202" s="24" t="s">
        <v>421</v>
      </c>
      <c r="C202" s="32">
        <v>134</v>
      </c>
      <c r="D202" s="33">
        <v>340</v>
      </c>
      <c r="E202" s="33">
        <v>300</v>
      </c>
      <c r="F202" s="33">
        <v>12</v>
      </c>
      <c r="G202" s="33">
        <v>21.5</v>
      </c>
      <c r="H202" s="50">
        <v>27</v>
      </c>
      <c r="I202" s="30">
        <v>17090</v>
      </c>
      <c r="J202" s="33">
        <v>297</v>
      </c>
      <c r="K202" s="33">
        <v>243</v>
      </c>
      <c r="L202" s="31">
        <v>366600000</v>
      </c>
      <c r="M202" s="31">
        <v>2156256.6800000002</v>
      </c>
      <c r="N202" s="31">
        <v>2408000</v>
      </c>
      <c r="O202" s="30">
        <v>146.45578634178145</v>
      </c>
      <c r="P202" s="30">
        <v>5609</v>
      </c>
      <c r="Q202" s="31">
        <v>96900000</v>
      </c>
      <c r="R202" s="31">
        <v>646000</v>
      </c>
      <c r="S202" s="31">
        <v>985700</v>
      </c>
      <c r="T202" s="30">
        <v>75.3</v>
      </c>
      <c r="U202" s="33">
        <v>86.63</v>
      </c>
      <c r="V202" s="31">
        <v>2572000</v>
      </c>
      <c r="W202" s="31">
        <v>2454000000000</v>
      </c>
    </row>
    <row r="203" spans="2:23" x14ac:dyDescent="0.25">
      <c r="B203" s="24" t="s">
        <v>422</v>
      </c>
      <c r="C203" s="32">
        <v>142</v>
      </c>
      <c r="D203" s="33">
        <v>360</v>
      </c>
      <c r="E203" s="33">
        <v>300</v>
      </c>
      <c r="F203" s="33">
        <v>12.5</v>
      </c>
      <c r="G203" s="33">
        <v>22.5</v>
      </c>
      <c r="H203" s="50">
        <v>27</v>
      </c>
      <c r="I203" s="30">
        <v>18060</v>
      </c>
      <c r="J203" s="33">
        <v>315</v>
      </c>
      <c r="K203" s="33">
        <v>261</v>
      </c>
      <c r="L203" s="31">
        <v>431900000</v>
      </c>
      <c r="M203" s="31">
        <v>2399634.19</v>
      </c>
      <c r="N203" s="31">
        <v>2683000</v>
      </c>
      <c r="O203" s="30">
        <v>154.60000000000002</v>
      </c>
      <c r="P203" s="30">
        <v>6060</v>
      </c>
      <c r="Q203" s="31">
        <v>101400000</v>
      </c>
      <c r="R203" s="31">
        <v>676100</v>
      </c>
      <c r="S203" s="31">
        <v>1032000</v>
      </c>
      <c r="T203" s="30">
        <v>74.900000000000006</v>
      </c>
      <c r="U203" s="33">
        <v>89.13</v>
      </c>
      <c r="V203" s="31">
        <v>2925000</v>
      </c>
      <c r="W203" s="31">
        <v>2883000000000</v>
      </c>
    </row>
    <row r="204" spans="2:23" x14ac:dyDescent="0.25">
      <c r="B204" s="24" t="s">
        <v>423</v>
      </c>
      <c r="C204" s="32">
        <v>155</v>
      </c>
      <c r="D204" s="33">
        <v>400</v>
      </c>
      <c r="E204" s="33">
        <v>300</v>
      </c>
      <c r="F204" s="33">
        <v>13.5</v>
      </c>
      <c r="G204" s="33">
        <v>24</v>
      </c>
      <c r="H204" s="50">
        <v>27</v>
      </c>
      <c r="I204" s="30">
        <v>19780</v>
      </c>
      <c r="J204" s="33">
        <v>352</v>
      </c>
      <c r="K204" s="33">
        <v>298</v>
      </c>
      <c r="L204" s="31">
        <v>576804819.03864408</v>
      </c>
      <c r="M204" s="31">
        <v>2884024.1</v>
      </c>
      <c r="N204" s="31">
        <v>3232000</v>
      </c>
      <c r="O204" s="30">
        <v>170.79999999999998</v>
      </c>
      <c r="P204" s="30">
        <v>6998</v>
      </c>
      <c r="Q204" s="31">
        <v>108200000</v>
      </c>
      <c r="R204" s="31">
        <v>721300</v>
      </c>
      <c r="S204" s="31">
        <v>1104000</v>
      </c>
      <c r="T204" s="30">
        <v>74</v>
      </c>
      <c r="U204" s="33">
        <v>93.13</v>
      </c>
      <c r="V204" s="31">
        <v>3557000</v>
      </c>
      <c r="W204" s="31">
        <v>3817000000000</v>
      </c>
    </row>
    <row r="205" spans="2:23" x14ac:dyDescent="0.25">
      <c r="B205" s="63" t="s">
        <v>424</v>
      </c>
      <c r="C205" s="52">
        <v>171</v>
      </c>
      <c r="D205" s="27">
        <v>450</v>
      </c>
      <c r="E205" s="27">
        <v>300</v>
      </c>
      <c r="F205" s="27">
        <v>14</v>
      </c>
      <c r="G205" s="27">
        <v>26</v>
      </c>
      <c r="H205" s="64">
        <v>27</v>
      </c>
      <c r="I205" s="30">
        <v>21800</v>
      </c>
      <c r="J205" s="27">
        <v>398</v>
      </c>
      <c r="K205" s="27">
        <v>344</v>
      </c>
      <c r="L205" s="31">
        <v>798900000</v>
      </c>
      <c r="M205" s="31">
        <v>3550556.27</v>
      </c>
      <c r="N205" s="31">
        <v>3982000</v>
      </c>
      <c r="O205" s="30">
        <v>191.4</v>
      </c>
      <c r="P205" s="30">
        <v>7966</v>
      </c>
      <c r="Q205" s="31">
        <v>117200000</v>
      </c>
      <c r="R205" s="31">
        <v>781400</v>
      </c>
      <c r="S205" s="31">
        <v>1198000</v>
      </c>
      <c r="T205" s="30">
        <v>73.3</v>
      </c>
      <c r="U205" s="54">
        <v>97.63</v>
      </c>
      <c r="V205" s="31">
        <v>4405000</v>
      </c>
      <c r="W205" s="31">
        <v>5258000000000</v>
      </c>
    </row>
    <row r="206" spans="2:23" x14ac:dyDescent="0.25">
      <c r="B206" s="24" t="s">
        <v>425</v>
      </c>
      <c r="C206" s="32">
        <v>187</v>
      </c>
      <c r="D206" s="33">
        <v>500</v>
      </c>
      <c r="E206" s="33">
        <v>300</v>
      </c>
      <c r="F206" s="33">
        <v>14.5</v>
      </c>
      <c r="G206" s="33">
        <v>28</v>
      </c>
      <c r="H206" s="50">
        <v>27</v>
      </c>
      <c r="I206" s="30">
        <v>23860</v>
      </c>
      <c r="J206" s="33">
        <v>444</v>
      </c>
      <c r="K206" s="33">
        <v>390</v>
      </c>
      <c r="L206" s="31">
        <v>1072000000</v>
      </c>
      <c r="M206" s="31">
        <v>4287029.22</v>
      </c>
      <c r="N206" s="31">
        <v>4815000</v>
      </c>
      <c r="O206" s="30">
        <v>211.9</v>
      </c>
      <c r="P206" s="30">
        <v>8982</v>
      </c>
      <c r="Q206" s="31">
        <v>126200000</v>
      </c>
      <c r="R206" s="31">
        <v>841600</v>
      </c>
      <c r="S206" s="31">
        <v>1292000</v>
      </c>
      <c r="T206" s="30">
        <v>72.699999999999989</v>
      </c>
      <c r="U206" s="54">
        <v>102.1</v>
      </c>
      <c r="V206" s="31">
        <v>5384000</v>
      </c>
      <c r="W206" s="31">
        <v>7018000000000</v>
      </c>
    </row>
    <row r="207" spans="2:23" x14ac:dyDescent="0.25">
      <c r="B207" s="24" t="s">
        <v>426</v>
      </c>
      <c r="C207" s="32">
        <v>199</v>
      </c>
      <c r="D207" s="33">
        <v>550</v>
      </c>
      <c r="E207" s="33">
        <v>300</v>
      </c>
      <c r="F207" s="33">
        <v>15</v>
      </c>
      <c r="G207" s="33">
        <v>29</v>
      </c>
      <c r="H207" s="50">
        <v>27</v>
      </c>
      <c r="I207" s="30">
        <v>25410</v>
      </c>
      <c r="J207" s="33">
        <v>492</v>
      </c>
      <c r="K207" s="33">
        <v>438</v>
      </c>
      <c r="L207" s="31">
        <v>1367000000</v>
      </c>
      <c r="M207" s="31">
        <v>4970574.95</v>
      </c>
      <c r="N207" s="31">
        <v>5591000</v>
      </c>
      <c r="O207" s="30">
        <v>232</v>
      </c>
      <c r="P207" s="30">
        <v>10010</v>
      </c>
      <c r="Q207" s="31">
        <v>130800000</v>
      </c>
      <c r="R207" s="31">
        <v>871800</v>
      </c>
      <c r="S207" s="31">
        <v>1341000</v>
      </c>
      <c r="T207" s="30">
        <v>71.7</v>
      </c>
      <c r="U207" s="33">
        <v>104.6</v>
      </c>
      <c r="V207" s="31">
        <v>6003000</v>
      </c>
      <c r="W207" s="31">
        <v>8856000000000</v>
      </c>
    </row>
    <row r="208" spans="2:23" x14ac:dyDescent="0.25">
      <c r="B208" s="24" t="s">
        <v>427</v>
      </c>
      <c r="C208" s="32">
        <v>212</v>
      </c>
      <c r="D208" s="33">
        <v>600</v>
      </c>
      <c r="E208" s="33">
        <v>300</v>
      </c>
      <c r="F208" s="33">
        <v>15.5</v>
      </c>
      <c r="G208" s="33">
        <v>30</v>
      </c>
      <c r="H208" s="50">
        <v>27</v>
      </c>
      <c r="I208" s="30">
        <v>27000</v>
      </c>
      <c r="J208" s="33">
        <v>540</v>
      </c>
      <c r="K208" s="33">
        <v>486</v>
      </c>
      <c r="L208" s="31">
        <v>1710000000</v>
      </c>
      <c r="M208" s="31">
        <v>5701367.8499999996</v>
      </c>
      <c r="N208" s="31">
        <v>6425000</v>
      </c>
      <c r="O208" s="30">
        <v>251.70000000000002</v>
      </c>
      <c r="P208" s="30">
        <v>11080</v>
      </c>
      <c r="Q208" s="31">
        <v>135300000</v>
      </c>
      <c r="R208" s="31">
        <v>902000</v>
      </c>
      <c r="S208" s="31">
        <v>1391000</v>
      </c>
      <c r="T208" s="30">
        <v>70.8</v>
      </c>
      <c r="U208" s="33">
        <v>107.1</v>
      </c>
      <c r="V208" s="31">
        <v>6672000</v>
      </c>
      <c r="W208" s="31">
        <v>10970000000000</v>
      </c>
    </row>
    <row r="209" spans="2:23" x14ac:dyDescent="0.25">
      <c r="B209" s="24" t="s">
        <v>428</v>
      </c>
      <c r="C209" s="32">
        <v>225</v>
      </c>
      <c r="D209" s="33">
        <v>650</v>
      </c>
      <c r="E209" s="33">
        <v>300</v>
      </c>
      <c r="F209" s="33">
        <v>16</v>
      </c>
      <c r="G209" s="33">
        <v>31</v>
      </c>
      <c r="H209" s="50">
        <v>27</v>
      </c>
      <c r="I209" s="30">
        <v>28630</v>
      </c>
      <c r="J209" s="33">
        <v>588</v>
      </c>
      <c r="K209" s="33">
        <v>534</v>
      </c>
      <c r="L209" s="31">
        <v>2106000000</v>
      </c>
      <c r="M209" s="31">
        <v>6480000</v>
      </c>
      <c r="N209" s="31">
        <v>7320000</v>
      </c>
      <c r="O209" s="30">
        <v>271.2</v>
      </c>
      <c r="P209" s="30">
        <v>12200</v>
      </c>
      <c r="Q209" s="31">
        <v>139800000</v>
      </c>
      <c r="R209" s="31">
        <v>932300</v>
      </c>
      <c r="S209" s="31">
        <v>1441000</v>
      </c>
      <c r="T209" s="30">
        <v>69.900000000000006</v>
      </c>
      <c r="U209" s="33">
        <v>109.6</v>
      </c>
      <c r="V209" s="31">
        <v>7392000</v>
      </c>
      <c r="W209" s="31">
        <v>13360000000000</v>
      </c>
    </row>
    <row r="210" spans="2:23" x14ac:dyDescent="0.25">
      <c r="B210" s="63" t="s">
        <v>429</v>
      </c>
      <c r="C210" s="55">
        <v>241</v>
      </c>
      <c r="D210" s="27">
        <v>700</v>
      </c>
      <c r="E210" s="27">
        <v>300</v>
      </c>
      <c r="F210" s="27">
        <v>17</v>
      </c>
      <c r="G210" s="27">
        <v>32</v>
      </c>
      <c r="H210" s="64">
        <v>27</v>
      </c>
      <c r="I210" s="30">
        <v>30639.999999999996</v>
      </c>
      <c r="J210" s="27">
        <v>636</v>
      </c>
      <c r="K210" s="27">
        <v>582</v>
      </c>
      <c r="L210" s="31">
        <v>2569000000</v>
      </c>
      <c r="M210" s="31">
        <v>7339666.6500000004</v>
      </c>
      <c r="N210" s="31">
        <v>8327000</v>
      </c>
      <c r="O210" s="30">
        <v>289.60000000000002</v>
      </c>
      <c r="P210" s="30">
        <v>13710</v>
      </c>
      <c r="Q210" s="31">
        <v>144400000</v>
      </c>
      <c r="R210" s="31">
        <v>962700</v>
      </c>
      <c r="S210" s="31">
        <v>1495000</v>
      </c>
      <c r="T210" s="30">
        <v>68.7</v>
      </c>
      <c r="U210" s="28">
        <v>112.6</v>
      </c>
      <c r="V210" s="31">
        <v>8309000</v>
      </c>
      <c r="W210" s="31">
        <v>16060000000000</v>
      </c>
    </row>
    <row r="211" spans="2:23" x14ac:dyDescent="0.25">
      <c r="B211" s="24" t="s">
        <v>430</v>
      </c>
      <c r="C211" s="32">
        <v>262</v>
      </c>
      <c r="D211" s="33">
        <v>800</v>
      </c>
      <c r="E211" s="33">
        <v>300</v>
      </c>
      <c r="F211" s="33">
        <v>17.5</v>
      </c>
      <c r="G211" s="33">
        <v>33</v>
      </c>
      <c r="H211" s="50">
        <v>30</v>
      </c>
      <c r="I211" s="30">
        <v>33420</v>
      </c>
      <c r="J211" s="33">
        <v>734</v>
      </c>
      <c r="K211" s="33">
        <v>674</v>
      </c>
      <c r="L211" s="31">
        <v>3591000000</v>
      </c>
      <c r="M211" s="31">
        <v>8977086.7699999996</v>
      </c>
      <c r="N211" s="31">
        <v>10230000</v>
      </c>
      <c r="O211" s="30">
        <v>327.8</v>
      </c>
      <c r="P211" s="30">
        <v>16180.000000000002</v>
      </c>
      <c r="Q211" s="31">
        <v>149000000</v>
      </c>
      <c r="R211" s="31">
        <v>993600</v>
      </c>
      <c r="S211" s="31">
        <v>1553000</v>
      </c>
      <c r="T211" s="30">
        <v>66.8</v>
      </c>
      <c r="U211" s="33">
        <v>118.6</v>
      </c>
      <c r="V211" s="31">
        <v>9460000</v>
      </c>
      <c r="W211" s="31">
        <v>21840000000000</v>
      </c>
    </row>
    <row r="212" spans="2:23" x14ac:dyDescent="0.25">
      <c r="B212" s="24" t="s">
        <v>431</v>
      </c>
      <c r="C212" s="32">
        <v>291</v>
      </c>
      <c r="D212" s="33">
        <v>900</v>
      </c>
      <c r="E212" s="33">
        <v>300</v>
      </c>
      <c r="F212" s="33">
        <v>18.5</v>
      </c>
      <c r="G212" s="33">
        <v>35</v>
      </c>
      <c r="H212" s="50">
        <v>30</v>
      </c>
      <c r="I212" s="30">
        <v>37130</v>
      </c>
      <c r="J212" s="33">
        <v>830</v>
      </c>
      <c r="K212" s="33">
        <v>770</v>
      </c>
      <c r="L212" s="31">
        <v>4941000000</v>
      </c>
      <c r="M212" s="31">
        <v>10980000</v>
      </c>
      <c r="N212" s="31">
        <v>12580000</v>
      </c>
      <c r="O212" s="30">
        <v>364.79999999999995</v>
      </c>
      <c r="P212" s="30">
        <v>18880</v>
      </c>
      <c r="Q212" s="31">
        <v>158200000</v>
      </c>
      <c r="R212" s="31">
        <v>1050000</v>
      </c>
      <c r="S212" s="31">
        <v>1658000</v>
      </c>
      <c r="T212" s="30">
        <v>65.3</v>
      </c>
      <c r="U212" s="33">
        <v>123.6</v>
      </c>
      <c r="V212" s="31">
        <v>11370000</v>
      </c>
      <c r="W212" s="31">
        <v>29460000000000</v>
      </c>
    </row>
    <row r="213" spans="2:23" x14ac:dyDescent="0.25">
      <c r="B213" s="24" t="s">
        <v>432</v>
      </c>
      <c r="C213" s="32">
        <v>30.9</v>
      </c>
      <c r="D213" s="33">
        <v>110</v>
      </c>
      <c r="E213" s="33">
        <v>103</v>
      </c>
      <c r="F213" s="28">
        <v>9</v>
      </c>
      <c r="G213" s="28">
        <v>15</v>
      </c>
      <c r="H213" s="29">
        <v>12</v>
      </c>
      <c r="I213" s="30">
        <v>3929.9999999999995</v>
      </c>
      <c r="J213" s="28">
        <v>80</v>
      </c>
      <c r="K213" s="28">
        <v>56</v>
      </c>
      <c r="L213" s="31">
        <v>7586525.9699999997</v>
      </c>
      <c r="M213" s="31">
        <v>137936.84</v>
      </c>
      <c r="N213" s="31">
        <v>165788.06</v>
      </c>
      <c r="O213" s="30">
        <v>43.92</v>
      </c>
      <c r="P213" s="30">
        <v>1338.61</v>
      </c>
      <c r="Q213" s="31">
        <v>2743673.37</v>
      </c>
      <c r="R213" s="31">
        <v>53275.21</v>
      </c>
      <c r="S213" s="31">
        <v>82075.070000000007</v>
      </c>
      <c r="T213" s="30">
        <v>26.41</v>
      </c>
      <c r="U213" s="34">
        <v>53.06</v>
      </c>
      <c r="V213" s="31">
        <v>292955.76</v>
      </c>
      <c r="W213" s="31">
        <v>6163663234.3800001</v>
      </c>
    </row>
    <row r="214" spans="2:23" x14ac:dyDescent="0.25">
      <c r="B214" s="24" t="s">
        <v>433</v>
      </c>
      <c r="C214" s="32">
        <v>39.200000000000003</v>
      </c>
      <c r="D214" s="33">
        <v>130</v>
      </c>
      <c r="E214" s="33">
        <v>123</v>
      </c>
      <c r="F214" s="28">
        <v>9.5</v>
      </c>
      <c r="G214" s="28">
        <v>16</v>
      </c>
      <c r="H214" s="29">
        <v>12</v>
      </c>
      <c r="I214" s="30">
        <v>4990</v>
      </c>
      <c r="J214" s="28">
        <v>98</v>
      </c>
      <c r="K214" s="28">
        <v>74</v>
      </c>
      <c r="L214" s="31">
        <v>13882964.890000001</v>
      </c>
      <c r="M214" s="31">
        <v>213584.08</v>
      </c>
      <c r="N214" s="31">
        <v>252887.04000000001</v>
      </c>
      <c r="O214" s="30">
        <v>52.74</v>
      </c>
      <c r="P214" s="30">
        <v>1590.61</v>
      </c>
      <c r="Q214" s="31">
        <v>4976761.3</v>
      </c>
      <c r="R214" s="31">
        <v>80922.95</v>
      </c>
      <c r="S214" s="31">
        <v>124161.60000000001</v>
      </c>
      <c r="T214" s="30">
        <v>31.58</v>
      </c>
      <c r="U214" s="34">
        <v>55.56</v>
      </c>
      <c r="V214" s="31">
        <v>409641.89</v>
      </c>
      <c r="W214" s="31">
        <v>16122551688</v>
      </c>
    </row>
    <row r="215" spans="2:23" x14ac:dyDescent="0.25">
      <c r="B215" s="24" t="s">
        <v>434</v>
      </c>
      <c r="C215" s="32">
        <v>48.2</v>
      </c>
      <c r="D215" s="33">
        <v>150</v>
      </c>
      <c r="E215" s="33">
        <v>143</v>
      </c>
      <c r="F215" s="28">
        <v>10</v>
      </c>
      <c r="G215" s="28">
        <v>17</v>
      </c>
      <c r="H215" s="29">
        <v>12</v>
      </c>
      <c r="I215" s="30">
        <v>6150</v>
      </c>
      <c r="J215" s="28">
        <v>116</v>
      </c>
      <c r="K215" s="28">
        <v>92</v>
      </c>
      <c r="L215" s="31">
        <v>23297713.23</v>
      </c>
      <c r="M215" s="31">
        <v>310636.18</v>
      </c>
      <c r="N215" s="31">
        <v>363801.03</v>
      </c>
      <c r="O215" s="30">
        <v>61.57</v>
      </c>
      <c r="P215" s="30">
        <v>1861.61</v>
      </c>
      <c r="Q215" s="31">
        <v>8302834.2199999997</v>
      </c>
      <c r="R215" s="31">
        <v>116123.56</v>
      </c>
      <c r="S215" s="31">
        <v>177665.87</v>
      </c>
      <c r="T215" s="30">
        <v>36.76</v>
      </c>
      <c r="U215" s="34">
        <v>58.06</v>
      </c>
      <c r="V215" s="31">
        <v>556796.16000000003</v>
      </c>
      <c r="W215" s="31">
        <v>36639460816.290001</v>
      </c>
    </row>
    <row r="216" spans="2:23" x14ac:dyDescent="0.25">
      <c r="B216" s="24" t="s">
        <v>435</v>
      </c>
      <c r="C216" s="25">
        <v>59.151000000000003</v>
      </c>
      <c r="D216" s="33">
        <v>170</v>
      </c>
      <c r="E216" s="33">
        <v>163</v>
      </c>
      <c r="F216" s="28">
        <v>11</v>
      </c>
      <c r="G216" s="28">
        <v>18</v>
      </c>
      <c r="H216" s="29">
        <v>15</v>
      </c>
      <c r="I216" s="30">
        <v>7540.0000000000009</v>
      </c>
      <c r="J216" s="28">
        <v>134</v>
      </c>
      <c r="K216" s="28">
        <v>104</v>
      </c>
      <c r="L216" s="31">
        <v>37041565.920000002</v>
      </c>
      <c r="M216" s="31">
        <v>435783.13</v>
      </c>
      <c r="N216" s="31">
        <v>507640.26</v>
      </c>
      <c r="O216" s="30">
        <v>70.11</v>
      </c>
      <c r="P216" s="30">
        <v>2405.14</v>
      </c>
      <c r="Q216" s="31">
        <v>13023753.210000001</v>
      </c>
      <c r="R216" s="31">
        <v>159800.65</v>
      </c>
      <c r="S216" s="31">
        <v>244883.89</v>
      </c>
      <c r="T216" s="30">
        <v>41.57</v>
      </c>
      <c r="U216" s="34">
        <v>64.569999999999993</v>
      </c>
      <c r="V216" s="31">
        <v>792110.95</v>
      </c>
      <c r="W216" s="31">
        <v>75043184016</v>
      </c>
    </row>
    <row r="217" spans="2:23" x14ac:dyDescent="0.25">
      <c r="B217" s="24" t="s">
        <v>436</v>
      </c>
      <c r="C217" s="32">
        <v>69.826999999999998</v>
      </c>
      <c r="D217" s="33">
        <v>190</v>
      </c>
      <c r="E217" s="33">
        <v>183</v>
      </c>
      <c r="F217" s="28">
        <v>11.5</v>
      </c>
      <c r="G217" s="28">
        <v>19</v>
      </c>
      <c r="H217" s="29">
        <v>15</v>
      </c>
      <c r="I217" s="30">
        <v>8900</v>
      </c>
      <c r="J217" s="28">
        <v>152</v>
      </c>
      <c r="K217" s="28">
        <v>122</v>
      </c>
      <c r="L217" s="31">
        <v>55431048.619999997</v>
      </c>
      <c r="M217" s="31">
        <v>583484.72</v>
      </c>
      <c r="N217" s="31">
        <v>675022.52</v>
      </c>
      <c r="O217" s="30">
        <v>78.94</v>
      </c>
      <c r="P217" s="30">
        <v>2729.64</v>
      </c>
      <c r="Q217" s="31">
        <v>19443656.109999999</v>
      </c>
      <c r="R217" s="31">
        <v>212498.97</v>
      </c>
      <c r="S217" s="31">
        <v>324928.68</v>
      </c>
      <c r="T217" s="30">
        <v>46.75</v>
      </c>
      <c r="U217" s="34">
        <v>67.069999999999993</v>
      </c>
      <c r="V217" s="31">
        <v>1020737.54</v>
      </c>
      <c r="W217" s="31">
        <v>141869111623.88</v>
      </c>
    </row>
    <row r="218" spans="2:23" x14ac:dyDescent="0.25">
      <c r="B218" s="24" t="s">
        <v>437</v>
      </c>
      <c r="C218" s="32">
        <v>81.900000000000006</v>
      </c>
      <c r="D218" s="33">
        <v>210</v>
      </c>
      <c r="E218" s="33">
        <v>203</v>
      </c>
      <c r="F218" s="28">
        <v>12</v>
      </c>
      <c r="G218" s="28">
        <v>20</v>
      </c>
      <c r="H218" s="29">
        <v>18</v>
      </c>
      <c r="I218" s="30">
        <v>10440</v>
      </c>
      <c r="J218" s="28">
        <v>170</v>
      </c>
      <c r="K218" s="28">
        <v>134</v>
      </c>
      <c r="L218" s="31">
        <v>80293616.709999993</v>
      </c>
      <c r="M218" s="31">
        <v>764701.11</v>
      </c>
      <c r="N218" s="31">
        <v>880622.11</v>
      </c>
      <c r="O218" s="30">
        <v>87.71</v>
      </c>
      <c r="P218" s="30">
        <v>3278.12</v>
      </c>
      <c r="Q218" s="31">
        <v>27940316.16</v>
      </c>
      <c r="R218" s="31">
        <v>275274.05</v>
      </c>
      <c r="S218" s="31">
        <v>420996.96</v>
      </c>
      <c r="T218" s="30">
        <v>51.74</v>
      </c>
      <c r="U218" s="34">
        <v>73.09</v>
      </c>
      <c r="V218" s="31">
        <v>1350633.48</v>
      </c>
      <c r="W218" s="31">
        <v>251659928916.67001</v>
      </c>
    </row>
    <row r="219" spans="2:23" x14ac:dyDescent="0.25">
      <c r="B219" s="24" t="s">
        <v>438</v>
      </c>
      <c r="C219" s="32">
        <v>94.1</v>
      </c>
      <c r="D219" s="33">
        <v>230</v>
      </c>
      <c r="E219" s="33">
        <v>223</v>
      </c>
      <c r="F219" s="28">
        <v>12.5</v>
      </c>
      <c r="G219" s="28">
        <v>21</v>
      </c>
      <c r="H219" s="29">
        <v>18</v>
      </c>
      <c r="I219" s="30">
        <v>11990</v>
      </c>
      <c r="J219" s="28">
        <v>188</v>
      </c>
      <c r="K219" s="28">
        <v>152</v>
      </c>
      <c r="L219" s="31">
        <v>111799668.39</v>
      </c>
      <c r="M219" s="31">
        <v>972171.03</v>
      </c>
      <c r="N219" s="31">
        <v>1114222.2</v>
      </c>
      <c r="O219" s="30">
        <v>96.55</v>
      </c>
      <c r="P219" s="30">
        <v>3646.62</v>
      </c>
      <c r="Q219" s="31">
        <v>38876573.890000001</v>
      </c>
      <c r="R219" s="31">
        <v>348668.82</v>
      </c>
      <c r="S219" s="31">
        <v>532354.74</v>
      </c>
      <c r="T219" s="30">
        <v>56.93</v>
      </c>
      <c r="U219" s="34">
        <v>75.59</v>
      </c>
      <c r="V219" s="31">
        <v>1681701.62</v>
      </c>
      <c r="W219" s="31">
        <v>423852954111.13</v>
      </c>
    </row>
    <row r="220" spans="2:23" x14ac:dyDescent="0.25">
      <c r="B220" s="24" t="s">
        <v>439</v>
      </c>
      <c r="C220" s="32">
        <v>119.46599999999999</v>
      </c>
      <c r="D220" s="33">
        <v>255</v>
      </c>
      <c r="E220" s="33">
        <v>244</v>
      </c>
      <c r="F220" s="28">
        <v>14</v>
      </c>
      <c r="G220" s="28">
        <v>24.5</v>
      </c>
      <c r="H220" s="29">
        <v>21</v>
      </c>
      <c r="I220" s="30">
        <v>15219.999999999998</v>
      </c>
      <c r="J220" s="28">
        <v>206</v>
      </c>
      <c r="K220" s="28">
        <v>164</v>
      </c>
      <c r="L220" s="31">
        <v>173300000</v>
      </c>
      <c r="M220" s="31">
        <v>1358961.22</v>
      </c>
      <c r="N220" s="31">
        <v>1563670.4</v>
      </c>
      <c r="O220" s="30">
        <v>106.7</v>
      </c>
      <c r="P220" s="30">
        <v>4634.55</v>
      </c>
      <c r="Q220" s="31">
        <v>59422385.259999998</v>
      </c>
      <c r="R220" s="31">
        <v>487068.73</v>
      </c>
      <c r="S220" s="31">
        <v>743835.58</v>
      </c>
      <c r="T220" s="30">
        <v>62.49</v>
      </c>
      <c r="U220" s="34">
        <v>87.6</v>
      </c>
      <c r="V220" s="31">
        <v>2886578.91</v>
      </c>
      <c r="W220" s="31">
        <v>787891075316.32996</v>
      </c>
    </row>
    <row r="221" spans="2:23" x14ac:dyDescent="0.25">
      <c r="B221" s="24" t="s">
        <v>440</v>
      </c>
      <c r="C221" s="32">
        <v>132.19999999999999</v>
      </c>
      <c r="D221" s="33">
        <v>275</v>
      </c>
      <c r="E221" s="33">
        <v>264</v>
      </c>
      <c r="F221" s="33">
        <v>14</v>
      </c>
      <c r="G221" s="33">
        <v>25</v>
      </c>
      <c r="H221" s="50">
        <v>24</v>
      </c>
      <c r="I221" s="30">
        <v>16840</v>
      </c>
      <c r="J221" s="33">
        <v>225</v>
      </c>
      <c r="K221" s="33">
        <v>177</v>
      </c>
      <c r="L221" s="31">
        <v>225900000</v>
      </c>
      <c r="M221" s="31">
        <v>1642996.32</v>
      </c>
      <c r="N221" s="31">
        <v>1880161.21</v>
      </c>
      <c r="O221" s="30">
        <v>115.81</v>
      </c>
      <c r="P221" s="30">
        <v>5194.4399999999996</v>
      </c>
      <c r="Q221" s="31">
        <v>76802557.989999995</v>
      </c>
      <c r="R221" s="31">
        <v>581837.56000000006</v>
      </c>
      <c r="S221" s="31">
        <v>888336.68</v>
      </c>
      <c r="T221" s="30">
        <v>67.52</v>
      </c>
      <c r="U221" s="33">
        <v>92.12</v>
      </c>
      <c r="V221" s="31">
        <v>3364359.56</v>
      </c>
      <c r="W221" s="31">
        <v>1197900000000</v>
      </c>
    </row>
    <row r="222" spans="2:23" x14ac:dyDescent="0.25">
      <c r="B222" s="24" t="s">
        <v>441</v>
      </c>
      <c r="C222" s="32">
        <v>145.30000000000001</v>
      </c>
      <c r="D222" s="33">
        <v>295</v>
      </c>
      <c r="E222" s="33">
        <v>284</v>
      </c>
      <c r="F222" s="33">
        <v>14.5</v>
      </c>
      <c r="G222" s="33">
        <v>25.5</v>
      </c>
      <c r="H222" s="50">
        <v>24</v>
      </c>
      <c r="I222" s="30">
        <v>18520</v>
      </c>
      <c r="J222" s="33">
        <v>244</v>
      </c>
      <c r="K222" s="33">
        <v>196</v>
      </c>
      <c r="L222" s="31">
        <v>288100000</v>
      </c>
      <c r="M222" s="31">
        <v>1953008.36</v>
      </c>
      <c r="N222" s="31">
        <v>2225207.87</v>
      </c>
      <c r="O222" s="30">
        <v>124.73</v>
      </c>
      <c r="P222" s="30">
        <v>5626.19</v>
      </c>
      <c r="Q222" s="31">
        <v>97502375.629999995</v>
      </c>
      <c r="R222" s="31">
        <v>686636.45</v>
      </c>
      <c r="S222" s="31">
        <v>1047424.54</v>
      </c>
      <c r="T222" s="30">
        <v>72.569999999999993</v>
      </c>
      <c r="U222" s="33">
        <v>93.62</v>
      </c>
      <c r="V222" s="31">
        <v>3825228.04</v>
      </c>
      <c r="W222" s="31">
        <v>1767671247727</v>
      </c>
    </row>
    <row r="223" spans="2:23" x14ac:dyDescent="0.25">
      <c r="B223" s="24" t="s">
        <v>442</v>
      </c>
      <c r="C223" s="32">
        <v>177</v>
      </c>
      <c r="D223" s="33">
        <v>320</v>
      </c>
      <c r="E223" s="33">
        <v>305</v>
      </c>
      <c r="F223" s="33">
        <v>16</v>
      </c>
      <c r="G223" s="33">
        <v>29</v>
      </c>
      <c r="H223" s="50">
        <v>27</v>
      </c>
      <c r="I223" s="30">
        <v>22510</v>
      </c>
      <c r="J223" s="33">
        <v>262</v>
      </c>
      <c r="K223" s="33">
        <v>208</v>
      </c>
      <c r="L223" s="31">
        <v>409500000</v>
      </c>
      <c r="M223" s="31">
        <v>2559436.35</v>
      </c>
      <c r="N223" s="31">
        <v>2926673.32</v>
      </c>
      <c r="O223" s="30">
        <v>134.88999999999999</v>
      </c>
      <c r="P223" s="30">
        <v>6847.77</v>
      </c>
      <c r="Q223" s="31">
        <v>137362936.18000001</v>
      </c>
      <c r="R223" s="31">
        <v>900740.57</v>
      </c>
      <c r="S223" s="31">
        <v>1374410.71</v>
      </c>
      <c r="T223" s="30">
        <v>78.12</v>
      </c>
      <c r="U223" s="33">
        <v>105.63</v>
      </c>
      <c r="V223" s="31">
        <v>5983116.0800000001</v>
      </c>
      <c r="W223" s="31">
        <v>2903168561296.8701</v>
      </c>
    </row>
    <row r="224" spans="2:23" x14ac:dyDescent="0.25">
      <c r="B224" s="24" t="s">
        <v>443</v>
      </c>
      <c r="C224" s="32">
        <v>186</v>
      </c>
      <c r="D224" s="33">
        <v>340</v>
      </c>
      <c r="E224" s="33">
        <v>305</v>
      </c>
      <c r="F224" s="33">
        <v>16</v>
      </c>
      <c r="G224" s="33">
        <v>30.5</v>
      </c>
      <c r="H224" s="50">
        <v>27</v>
      </c>
      <c r="I224" s="30">
        <v>23690</v>
      </c>
      <c r="J224" s="33">
        <v>279</v>
      </c>
      <c r="K224" s="33">
        <v>225</v>
      </c>
      <c r="L224" s="31">
        <v>487100000</v>
      </c>
      <c r="M224" s="31">
        <v>2865334.42</v>
      </c>
      <c r="N224" s="31">
        <v>3274009.15</v>
      </c>
      <c r="O224" s="30">
        <v>143.38</v>
      </c>
      <c r="P224" s="30">
        <v>7224.77</v>
      </c>
      <c r="Q224" s="31">
        <v>144461895.09</v>
      </c>
      <c r="R224" s="31">
        <v>947291.12</v>
      </c>
      <c r="S224" s="31">
        <v>1445267.46</v>
      </c>
      <c r="T224" s="30">
        <v>78.08</v>
      </c>
      <c r="U224" s="33">
        <v>108.63</v>
      </c>
      <c r="V224" s="31">
        <v>6791002.5899999999</v>
      </c>
      <c r="W224" s="31">
        <v>3453897319922.5298</v>
      </c>
    </row>
    <row r="225" spans="2:23" x14ac:dyDescent="0.25">
      <c r="B225" s="24" t="s">
        <v>444</v>
      </c>
      <c r="C225" s="32" t="s">
        <v>445</v>
      </c>
      <c r="D225" s="33">
        <v>120</v>
      </c>
      <c r="E225" s="33">
        <v>106</v>
      </c>
      <c r="F225" s="28">
        <v>12</v>
      </c>
      <c r="G225" s="28">
        <v>20</v>
      </c>
      <c r="H225" s="29">
        <v>12</v>
      </c>
      <c r="I225" s="30">
        <v>5320</v>
      </c>
      <c r="J225" s="28">
        <v>80</v>
      </c>
      <c r="K225" s="28">
        <v>56</v>
      </c>
      <c r="L225" s="31">
        <v>11430000</v>
      </c>
      <c r="M225" s="31">
        <v>190400</v>
      </c>
      <c r="N225" s="31">
        <v>235800</v>
      </c>
      <c r="O225" s="30">
        <v>46.3</v>
      </c>
      <c r="P225" s="30">
        <v>1804</v>
      </c>
      <c r="Q225" s="31">
        <v>3992000</v>
      </c>
      <c r="R225" s="31">
        <v>75310</v>
      </c>
      <c r="S225" s="31">
        <v>116300</v>
      </c>
      <c r="T225" s="30">
        <v>27.400000000000002</v>
      </c>
      <c r="U225" s="34">
        <v>66.06</v>
      </c>
      <c r="V225" s="31">
        <v>682099.99999999988</v>
      </c>
      <c r="W225" s="31">
        <v>9930000000</v>
      </c>
    </row>
    <row r="226" spans="2:23" x14ac:dyDescent="0.25">
      <c r="B226" s="24" t="s">
        <v>446</v>
      </c>
      <c r="C226" s="32">
        <v>349</v>
      </c>
      <c r="D226" s="33">
        <v>1008</v>
      </c>
      <c r="E226" s="33">
        <v>302</v>
      </c>
      <c r="F226" s="33">
        <v>21</v>
      </c>
      <c r="G226" s="33">
        <v>40</v>
      </c>
      <c r="H226" s="50">
        <v>30</v>
      </c>
      <c r="I226" s="30">
        <v>44420</v>
      </c>
      <c r="J226" s="33">
        <v>928</v>
      </c>
      <c r="K226" s="33">
        <v>868</v>
      </c>
      <c r="L226" s="31">
        <v>7223000000</v>
      </c>
      <c r="M226" s="31">
        <v>14330000</v>
      </c>
      <c r="N226" s="31">
        <v>16570000</v>
      </c>
      <c r="O226" s="30">
        <v>403.2</v>
      </c>
      <c r="P226" s="30">
        <v>23500</v>
      </c>
      <c r="Q226" s="31">
        <v>184600000</v>
      </c>
      <c r="R226" s="31">
        <v>1222471.1599999999</v>
      </c>
      <c r="S226" s="31">
        <v>1940000</v>
      </c>
      <c r="T226" s="30">
        <v>64.5</v>
      </c>
      <c r="U226" s="33">
        <v>136.1</v>
      </c>
      <c r="V226" s="31">
        <v>17010000</v>
      </c>
      <c r="W226" s="31">
        <v>43020000000000</v>
      </c>
    </row>
    <row r="227" spans="2:23" x14ac:dyDescent="0.25">
      <c r="B227" s="24" t="s">
        <v>447</v>
      </c>
      <c r="C227" s="25" t="s">
        <v>448</v>
      </c>
      <c r="D227" s="33">
        <v>140</v>
      </c>
      <c r="E227" s="33">
        <v>126</v>
      </c>
      <c r="F227" s="28">
        <v>12.5</v>
      </c>
      <c r="G227" s="28">
        <v>21</v>
      </c>
      <c r="H227" s="29">
        <v>12</v>
      </c>
      <c r="I227" s="30">
        <v>6640.0000000000009</v>
      </c>
      <c r="J227" s="28">
        <v>98</v>
      </c>
      <c r="K227" s="28">
        <v>74</v>
      </c>
      <c r="L227" s="31">
        <v>20180000</v>
      </c>
      <c r="M227" s="31">
        <v>288200</v>
      </c>
      <c r="N227" s="31">
        <v>350600</v>
      </c>
      <c r="O227" s="30">
        <v>55.099999999999994</v>
      </c>
      <c r="P227" s="30">
        <v>2115</v>
      </c>
      <c r="Q227" s="31">
        <v>7028000</v>
      </c>
      <c r="R227" s="31">
        <v>111600</v>
      </c>
      <c r="S227" s="31">
        <v>171600</v>
      </c>
      <c r="T227" s="30">
        <v>32.5</v>
      </c>
      <c r="U227" s="34">
        <v>68.56</v>
      </c>
      <c r="V227" s="31">
        <v>916600</v>
      </c>
      <c r="W227" s="31">
        <v>24790000000</v>
      </c>
    </row>
    <row r="228" spans="2:23" x14ac:dyDescent="0.25">
      <c r="B228" s="24" t="s">
        <v>449</v>
      </c>
      <c r="C228" s="32" t="s">
        <v>450</v>
      </c>
      <c r="D228" s="33">
        <v>160</v>
      </c>
      <c r="E228" s="33">
        <v>146</v>
      </c>
      <c r="F228" s="28">
        <v>13</v>
      </c>
      <c r="G228" s="28">
        <v>22</v>
      </c>
      <c r="H228" s="29">
        <v>12</v>
      </c>
      <c r="I228" s="30">
        <v>8059.9999999999991</v>
      </c>
      <c r="J228" s="28">
        <v>116</v>
      </c>
      <c r="K228" s="28">
        <v>92</v>
      </c>
      <c r="L228" s="31">
        <v>32910000</v>
      </c>
      <c r="M228" s="31">
        <v>411400</v>
      </c>
      <c r="N228" s="31">
        <v>493800</v>
      </c>
      <c r="O228" s="30">
        <v>63.9</v>
      </c>
      <c r="P228" s="30">
        <v>2446</v>
      </c>
      <c r="Q228" s="31">
        <v>11440000</v>
      </c>
      <c r="R228" s="31">
        <v>156800</v>
      </c>
      <c r="S228" s="31">
        <v>240500</v>
      </c>
      <c r="T228" s="30">
        <v>37.700000000000003</v>
      </c>
      <c r="U228" s="34">
        <v>71.06</v>
      </c>
      <c r="V228" s="31">
        <v>1200000</v>
      </c>
      <c r="W228" s="31">
        <v>54330000000</v>
      </c>
    </row>
    <row r="229" spans="2:23" x14ac:dyDescent="0.25">
      <c r="B229" s="24" t="s">
        <v>451</v>
      </c>
      <c r="C229" s="32" t="s">
        <v>452</v>
      </c>
      <c r="D229" s="33">
        <v>180</v>
      </c>
      <c r="E229" s="33">
        <v>166</v>
      </c>
      <c r="F229" s="28">
        <v>14</v>
      </c>
      <c r="G229" s="28">
        <v>23</v>
      </c>
      <c r="H229" s="29">
        <v>15</v>
      </c>
      <c r="I229" s="30">
        <v>9710</v>
      </c>
      <c r="J229" s="28">
        <v>134</v>
      </c>
      <c r="K229" s="28">
        <v>104</v>
      </c>
      <c r="L229" s="31">
        <v>50980000</v>
      </c>
      <c r="M229" s="31">
        <v>566473.88</v>
      </c>
      <c r="N229" s="31">
        <v>674600</v>
      </c>
      <c r="O229" s="30">
        <v>72.5</v>
      </c>
      <c r="P229" s="30">
        <v>3081</v>
      </c>
      <c r="Q229" s="31">
        <v>17590000</v>
      </c>
      <c r="R229" s="31">
        <v>211900</v>
      </c>
      <c r="S229" s="31">
        <v>325500</v>
      </c>
      <c r="T229" s="30">
        <v>42.599999999999994</v>
      </c>
      <c r="U229" s="34">
        <v>77.569999999999993</v>
      </c>
      <c r="V229" s="31">
        <v>1624000</v>
      </c>
      <c r="W229" s="31">
        <v>108100000000</v>
      </c>
    </row>
    <row r="230" spans="2:23" x14ac:dyDescent="0.25">
      <c r="B230" s="24" t="s">
        <v>453</v>
      </c>
      <c r="C230" s="32" t="s">
        <v>454</v>
      </c>
      <c r="D230" s="33">
        <v>200</v>
      </c>
      <c r="E230" s="33">
        <v>186</v>
      </c>
      <c r="F230" s="28">
        <v>14.5</v>
      </c>
      <c r="G230" s="28">
        <v>24</v>
      </c>
      <c r="H230" s="29">
        <v>15</v>
      </c>
      <c r="I230" s="30">
        <v>11330</v>
      </c>
      <c r="J230" s="28">
        <v>152</v>
      </c>
      <c r="K230" s="28">
        <v>122</v>
      </c>
      <c r="L230" s="31">
        <v>74830000</v>
      </c>
      <c r="M230" s="31">
        <v>748300</v>
      </c>
      <c r="N230" s="31">
        <v>883400</v>
      </c>
      <c r="O230" s="30">
        <v>81.300000000000011</v>
      </c>
      <c r="P230" s="30">
        <v>3465</v>
      </c>
      <c r="Q230" s="31">
        <v>25800000</v>
      </c>
      <c r="R230" s="31">
        <v>277400</v>
      </c>
      <c r="S230" s="31">
        <v>425200</v>
      </c>
      <c r="T230" s="30">
        <v>47.699999999999996</v>
      </c>
      <c r="U230" s="34">
        <v>80.069999999999993</v>
      </c>
      <c r="V230" s="31">
        <v>2033000</v>
      </c>
      <c r="W230" s="31">
        <v>199300000000</v>
      </c>
    </row>
    <row r="231" spans="2:23" x14ac:dyDescent="0.25">
      <c r="B231" s="24" t="s">
        <v>455</v>
      </c>
      <c r="C231" s="32">
        <v>103</v>
      </c>
      <c r="D231" s="33">
        <v>220</v>
      </c>
      <c r="E231" s="33">
        <v>206</v>
      </c>
      <c r="F231" s="28">
        <v>15</v>
      </c>
      <c r="G231" s="28">
        <v>25</v>
      </c>
      <c r="H231" s="29">
        <v>18</v>
      </c>
      <c r="I231" s="30">
        <v>13130.000000000002</v>
      </c>
      <c r="J231" s="28">
        <v>170</v>
      </c>
      <c r="K231" s="28">
        <v>134</v>
      </c>
      <c r="L231" s="31">
        <v>106400000</v>
      </c>
      <c r="M231" s="31">
        <v>967400</v>
      </c>
      <c r="N231" s="31">
        <v>1135000</v>
      </c>
      <c r="O231" s="30">
        <v>90</v>
      </c>
      <c r="P231" s="30">
        <v>4103</v>
      </c>
      <c r="Q231" s="31">
        <v>36510000</v>
      </c>
      <c r="R231" s="31">
        <v>354486.53</v>
      </c>
      <c r="S231" s="31">
        <v>543200</v>
      </c>
      <c r="T231" s="30">
        <v>52.699999999999996</v>
      </c>
      <c r="U231" s="34">
        <v>86.09</v>
      </c>
      <c r="V231" s="31">
        <v>2594000</v>
      </c>
      <c r="W231" s="31">
        <v>346300000000</v>
      </c>
    </row>
    <row r="232" spans="2:23" x14ac:dyDescent="0.25">
      <c r="B232" s="24" t="s">
        <v>456</v>
      </c>
      <c r="C232" s="32">
        <v>117</v>
      </c>
      <c r="D232" s="33">
        <v>240</v>
      </c>
      <c r="E232" s="33">
        <v>226</v>
      </c>
      <c r="F232" s="28">
        <v>15.5</v>
      </c>
      <c r="G232" s="28">
        <v>26</v>
      </c>
      <c r="H232" s="29">
        <v>18</v>
      </c>
      <c r="I232" s="30">
        <v>14940</v>
      </c>
      <c r="J232" s="28">
        <v>188</v>
      </c>
      <c r="K232" s="28">
        <v>152</v>
      </c>
      <c r="L232" s="31">
        <v>146000000</v>
      </c>
      <c r="M232" s="31">
        <v>1217068.76</v>
      </c>
      <c r="N232" s="31">
        <v>1419000</v>
      </c>
      <c r="O232" s="30">
        <v>98.9</v>
      </c>
      <c r="P232" s="30">
        <v>4531</v>
      </c>
      <c r="Q232" s="31">
        <v>50120000</v>
      </c>
      <c r="R232" s="31">
        <v>443500</v>
      </c>
      <c r="S232" s="31">
        <v>678600</v>
      </c>
      <c r="T232" s="30">
        <v>57.9</v>
      </c>
      <c r="U232" s="34">
        <v>88.59</v>
      </c>
      <c r="V232" s="31">
        <v>3153000</v>
      </c>
      <c r="W232" s="31">
        <v>572700000000</v>
      </c>
    </row>
    <row r="233" spans="2:23" x14ac:dyDescent="0.25">
      <c r="B233" s="24" t="s">
        <v>457</v>
      </c>
      <c r="C233" s="32">
        <v>157</v>
      </c>
      <c r="D233" s="33">
        <v>270</v>
      </c>
      <c r="E233" s="33">
        <v>248</v>
      </c>
      <c r="F233" s="28">
        <v>18</v>
      </c>
      <c r="G233" s="28">
        <v>32</v>
      </c>
      <c r="H233" s="29">
        <v>21</v>
      </c>
      <c r="I233" s="30">
        <v>19960</v>
      </c>
      <c r="J233" s="28">
        <v>206</v>
      </c>
      <c r="K233" s="28">
        <v>164</v>
      </c>
      <c r="L233" s="31">
        <v>242900000</v>
      </c>
      <c r="M233" s="31">
        <v>1799221.71</v>
      </c>
      <c r="N233" s="31">
        <v>2117000</v>
      </c>
      <c r="O233" s="30">
        <v>110.3</v>
      </c>
      <c r="P233" s="30">
        <v>6007</v>
      </c>
      <c r="Q233" s="31">
        <v>81530000</v>
      </c>
      <c r="R233" s="31">
        <v>657469.38</v>
      </c>
      <c r="S233" s="31">
        <v>1006000</v>
      </c>
      <c r="T233" s="30">
        <v>63.9</v>
      </c>
      <c r="U233" s="34">
        <v>106.6</v>
      </c>
      <c r="V233" s="31">
        <v>6279000</v>
      </c>
      <c r="W233" s="31">
        <v>1152000000000</v>
      </c>
    </row>
    <row r="234" spans="2:23" x14ac:dyDescent="0.25">
      <c r="B234" s="63" t="s">
        <v>458</v>
      </c>
      <c r="C234" s="52">
        <v>172</v>
      </c>
      <c r="D234" s="27">
        <v>290</v>
      </c>
      <c r="E234" s="27">
        <v>268</v>
      </c>
      <c r="F234" s="27">
        <v>18</v>
      </c>
      <c r="G234" s="27">
        <v>32.5</v>
      </c>
      <c r="H234" s="64">
        <v>24</v>
      </c>
      <c r="I234" s="30">
        <v>21960</v>
      </c>
      <c r="J234" s="27">
        <v>225</v>
      </c>
      <c r="K234" s="27">
        <v>177</v>
      </c>
      <c r="L234" s="31">
        <v>313100000</v>
      </c>
      <c r="M234" s="31">
        <v>2159092.4900000002</v>
      </c>
      <c r="N234" s="31">
        <v>2524000</v>
      </c>
      <c r="O234" s="30">
        <v>119.39999999999999</v>
      </c>
      <c r="P234" s="30">
        <v>6689</v>
      </c>
      <c r="Q234" s="31">
        <v>104500000</v>
      </c>
      <c r="R234" s="31">
        <v>779700</v>
      </c>
      <c r="S234" s="31">
        <v>1192000</v>
      </c>
      <c r="T234" s="30">
        <v>69</v>
      </c>
      <c r="U234" s="54">
        <v>111.1</v>
      </c>
      <c r="V234" s="31">
        <v>7190000</v>
      </c>
      <c r="W234" s="31">
        <v>1728000000000</v>
      </c>
    </row>
    <row r="235" spans="2:23" x14ac:dyDescent="0.25">
      <c r="B235" s="63" t="s">
        <v>459</v>
      </c>
      <c r="C235" s="52">
        <v>189</v>
      </c>
      <c r="D235" s="27">
        <v>310</v>
      </c>
      <c r="E235" s="27">
        <v>288</v>
      </c>
      <c r="F235" s="27">
        <v>18.5</v>
      </c>
      <c r="G235" s="27">
        <v>33</v>
      </c>
      <c r="H235" s="64">
        <v>24</v>
      </c>
      <c r="I235" s="30">
        <v>24020</v>
      </c>
      <c r="J235" s="27">
        <v>244</v>
      </c>
      <c r="K235" s="27">
        <v>196</v>
      </c>
      <c r="L235" s="31">
        <v>395500000</v>
      </c>
      <c r="M235" s="31">
        <v>2551439.94</v>
      </c>
      <c r="N235" s="31">
        <v>2966000</v>
      </c>
      <c r="O235" s="30">
        <v>128.30000000000001</v>
      </c>
      <c r="P235" s="30">
        <v>7203</v>
      </c>
      <c r="Q235" s="31">
        <v>131600000</v>
      </c>
      <c r="R235" s="31">
        <v>914100</v>
      </c>
      <c r="S235" s="31">
        <v>1397000</v>
      </c>
      <c r="T235" s="30">
        <v>74</v>
      </c>
      <c r="U235" s="54">
        <v>112.6</v>
      </c>
      <c r="V235" s="31">
        <v>8073000</v>
      </c>
      <c r="W235" s="31">
        <v>2520000000000</v>
      </c>
    </row>
    <row r="236" spans="2:23" x14ac:dyDescent="0.25">
      <c r="B236" s="63" t="s">
        <v>460</v>
      </c>
      <c r="C236" s="52">
        <v>238</v>
      </c>
      <c r="D236" s="27">
        <v>340</v>
      </c>
      <c r="E236" s="27">
        <v>310</v>
      </c>
      <c r="F236" s="27">
        <v>21</v>
      </c>
      <c r="G236" s="27">
        <v>39</v>
      </c>
      <c r="H236" s="64">
        <v>27</v>
      </c>
      <c r="I236" s="30">
        <v>30310.000000000004</v>
      </c>
      <c r="J236" s="27">
        <v>262</v>
      </c>
      <c r="K236" s="27">
        <v>208</v>
      </c>
      <c r="L236" s="31">
        <v>592000000</v>
      </c>
      <c r="M236" s="31">
        <v>3482410.68</v>
      </c>
      <c r="N236" s="31">
        <v>4078000</v>
      </c>
      <c r="O236" s="30">
        <v>139.80000000000001</v>
      </c>
      <c r="P236" s="30">
        <v>9053</v>
      </c>
      <c r="Q236" s="31">
        <v>194000000</v>
      </c>
      <c r="R236" s="31">
        <v>1251810.75</v>
      </c>
      <c r="S236" s="31">
        <v>1913000</v>
      </c>
      <c r="T236" s="30">
        <v>80</v>
      </c>
      <c r="U236" s="54">
        <v>130.6</v>
      </c>
      <c r="V236" s="31">
        <v>14080000</v>
      </c>
      <c r="W236" s="31">
        <v>4386000000000</v>
      </c>
    </row>
    <row r="237" spans="2:23" x14ac:dyDescent="0.25">
      <c r="B237" s="63" t="s">
        <v>461</v>
      </c>
      <c r="C237" s="25">
        <v>245</v>
      </c>
      <c r="D237" s="27">
        <v>359</v>
      </c>
      <c r="E237" s="27">
        <v>309</v>
      </c>
      <c r="F237" s="27">
        <v>21</v>
      </c>
      <c r="G237" s="27">
        <v>40</v>
      </c>
      <c r="H237" s="64">
        <v>27</v>
      </c>
      <c r="I237" s="30">
        <v>31200</v>
      </c>
      <c r="J237" s="27">
        <v>279</v>
      </c>
      <c r="K237" s="27">
        <v>225</v>
      </c>
      <c r="L237" s="31">
        <v>681300000</v>
      </c>
      <c r="M237" s="31">
        <v>3795811.55</v>
      </c>
      <c r="N237" s="31">
        <v>4435000</v>
      </c>
      <c r="O237" s="30">
        <v>147.79999999999998</v>
      </c>
      <c r="P237" s="30">
        <v>9485</v>
      </c>
      <c r="Q237" s="31">
        <v>197100000</v>
      </c>
      <c r="R237" s="31">
        <v>1275683.79</v>
      </c>
      <c r="S237" s="31">
        <v>1951000</v>
      </c>
      <c r="T237" s="30">
        <v>79.5</v>
      </c>
      <c r="U237" s="54">
        <v>132.6</v>
      </c>
      <c r="V237" s="31">
        <v>15010000</v>
      </c>
      <c r="W237" s="31">
        <v>5004000000000</v>
      </c>
    </row>
    <row r="238" spans="2:23" x14ac:dyDescent="0.25">
      <c r="B238" s="24" t="s">
        <v>462</v>
      </c>
      <c r="C238" s="32">
        <v>248</v>
      </c>
      <c r="D238" s="33">
        <v>377</v>
      </c>
      <c r="E238" s="33">
        <v>309</v>
      </c>
      <c r="F238" s="33">
        <v>21</v>
      </c>
      <c r="G238" s="33">
        <v>40</v>
      </c>
      <c r="H238" s="50">
        <v>27</v>
      </c>
      <c r="I238" s="30">
        <v>31580</v>
      </c>
      <c r="J238" s="33">
        <v>297</v>
      </c>
      <c r="K238" s="33">
        <v>243</v>
      </c>
      <c r="L238" s="31">
        <v>763700000</v>
      </c>
      <c r="M238" s="31">
        <v>4051546.08</v>
      </c>
      <c r="N238" s="31">
        <v>4718000</v>
      </c>
      <c r="O238" s="30">
        <v>155.5</v>
      </c>
      <c r="P238" s="30">
        <v>9863</v>
      </c>
      <c r="Q238" s="31">
        <v>197100000</v>
      </c>
      <c r="R238" s="31">
        <v>1275773.7</v>
      </c>
      <c r="S238" s="31">
        <v>1953000</v>
      </c>
      <c r="T238" s="30">
        <v>79</v>
      </c>
      <c r="U238" s="33">
        <v>132.6</v>
      </c>
      <c r="V238" s="31">
        <v>15060000</v>
      </c>
      <c r="W238" s="31">
        <v>5584000000000</v>
      </c>
    </row>
    <row r="239" spans="2:23" x14ac:dyDescent="0.25">
      <c r="B239" s="24" t="s">
        <v>463</v>
      </c>
      <c r="C239" s="32">
        <v>250</v>
      </c>
      <c r="D239" s="33">
        <v>395</v>
      </c>
      <c r="E239" s="33">
        <v>308</v>
      </c>
      <c r="F239" s="33">
        <v>21</v>
      </c>
      <c r="G239" s="33">
        <v>40</v>
      </c>
      <c r="H239" s="50">
        <v>27</v>
      </c>
      <c r="I239" s="30">
        <v>31880</v>
      </c>
      <c r="J239" s="33">
        <v>315</v>
      </c>
      <c r="K239" s="33">
        <v>261</v>
      </c>
      <c r="L239" s="31">
        <v>848700000</v>
      </c>
      <c r="M239" s="31">
        <v>4297062.99</v>
      </c>
      <c r="N239" s="31">
        <v>4989000</v>
      </c>
      <c r="O239" s="30">
        <v>163.19999999999999</v>
      </c>
      <c r="P239" s="30">
        <v>10240</v>
      </c>
      <c r="Q239" s="31">
        <v>195200000</v>
      </c>
      <c r="R239" s="31">
        <v>1267645.99</v>
      </c>
      <c r="S239" s="31">
        <v>1942000</v>
      </c>
      <c r="T239" s="30">
        <v>78.3</v>
      </c>
      <c r="U239" s="33">
        <v>132.6</v>
      </c>
      <c r="V239" s="31">
        <v>15070000</v>
      </c>
      <c r="W239" s="31">
        <v>6137000000000</v>
      </c>
    </row>
    <row r="240" spans="2:23" x14ac:dyDescent="0.25">
      <c r="B240" s="24" t="s">
        <v>464</v>
      </c>
      <c r="C240" s="32">
        <v>256</v>
      </c>
      <c r="D240" s="33">
        <v>432</v>
      </c>
      <c r="E240" s="33">
        <v>307</v>
      </c>
      <c r="F240" s="33">
        <v>21</v>
      </c>
      <c r="G240" s="33">
        <v>40</v>
      </c>
      <c r="H240" s="50">
        <v>27</v>
      </c>
      <c r="I240" s="30">
        <v>32580</v>
      </c>
      <c r="J240" s="33">
        <v>352</v>
      </c>
      <c r="K240" s="33">
        <v>298</v>
      </c>
      <c r="L240" s="31">
        <v>1041000000</v>
      </c>
      <c r="M240" s="31">
        <v>4820326.51</v>
      </c>
      <c r="N240" s="31">
        <v>5571000</v>
      </c>
      <c r="O240" s="30">
        <v>178.79999999999998</v>
      </c>
      <c r="P240" s="30">
        <v>11020</v>
      </c>
      <c r="Q240" s="31">
        <v>193400000</v>
      </c>
      <c r="R240" s="31">
        <v>1260000</v>
      </c>
      <c r="S240" s="31">
        <v>1934000</v>
      </c>
      <c r="T240" s="30">
        <v>77</v>
      </c>
      <c r="U240" s="33">
        <v>132.6</v>
      </c>
      <c r="V240" s="31">
        <v>15150000</v>
      </c>
      <c r="W240" s="31">
        <v>7410000000000</v>
      </c>
    </row>
    <row r="241" spans="2:23" x14ac:dyDescent="0.25">
      <c r="B241" s="24" t="s">
        <v>465</v>
      </c>
      <c r="C241" s="32">
        <v>263</v>
      </c>
      <c r="D241" s="33">
        <v>478</v>
      </c>
      <c r="E241" s="33">
        <v>307</v>
      </c>
      <c r="F241" s="33">
        <v>21</v>
      </c>
      <c r="G241" s="33">
        <v>40</v>
      </c>
      <c r="H241" s="50">
        <v>27</v>
      </c>
      <c r="I241" s="30">
        <v>33540</v>
      </c>
      <c r="J241" s="33">
        <v>398</v>
      </c>
      <c r="K241" s="33">
        <v>344</v>
      </c>
      <c r="L241" s="31">
        <v>1315000000</v>
      </c>
      <c r="M241" s="31">
        <v>5501434.7999999998</v>
      </c>
      <c r="N241" s="31">
        <v>6331000</v>
      </c>
      <c r="O241" s="30">
        <v>198</v>
      </c>
      <c r="P241" s="30">
        <v>11980</v>
      </c>
      <c r="Q241" s="31">
        <v>193400000</v>
      </c>
      <c r="R241" s="31">
        <v>1260000</v>
      </c>
      <c r="S241" s="31">
        <v>1939000</v>
      </c>
      <c r="T241" s="30">
        <v>75.900000000000006</v>
      </c>
      <c r="U241" s="33">
        <v>132.6</v>
      </c>
      <c r="V241" s="31">
        <v>15290000</v>
      </c>
      <c r="W241" s="31">
        <v>9251000000000</v>
      </c>
    </row>
    <row r="242" spans="2:23" x14ac:dyDescent="0.25">
      <c r="B242" s="63" t="s">
        <v>466</v>
      </c>
      <c r="C242" s="55">
        <v>270</v>
      </c>
      <c r="D242" s="27">
        <v>524</v>
      </c>
      <c r="E242" s="27">
        <v>306</v>
      </c>
      <c r="F242" s="27">
        <v>21</v>
      </c>
      <c r="G242" s="27">
        <v>40</v>
      </c>
      <c r="H242" s="64">
        <v>27</v>
      </c>
      <c r="I242" s="30">
        <v>34430</v>
      </c>
      <c r="J242" s="27">
        <v>444</v>
      </c>
      <c r="K242" s="27">
        <v>390</v>
      </c>
      <c r="L242" s="31">
        <v>1619000000</v>
      </c>
      <c r="M242" s="31">
        <v>6180491.7300000004</v>
      </c>
      <c r="N242" s="31">
        <v>7094000</v>
      </c>
      <c r="O242" s="30">
        <v>216.9</v>
      </c>
      <c r="P242" s="30">
        <v>12950</v>
      </c>
      <c r="Q242" s="31">
        <v>191500000</v>
      </c>
      <c r="R242" s="31">
        <v>1251941.6000000001</v>
      </c>
      <c r="S242" s="31">
        <v>1932000</v>
      </c>
      <c r="T242" s="30">
        <v>74.599999999999994</v>
      </c>
      <c r="U242" s="54">
        <v>132.6</v>
      </c>
      <c r="V242" s="31">
        <v>15390000</v>
      </c>
      <c r="W242" s="31">
        <v>11190000000000</v>
      </c>
    </row>
    <row r="243" spans="2:23" x14ac:dyDescent="0.25">
      <c r="B243" s="24" t="s">
        <v>467</v>
      </c>
      <c r="C243" s="25">
        <v>278</v>
      </c>
      <c r="D243" s="33">
        <v>572</v>
      </c>
      <c r="E243" s="33">
        <v>306</v>
      </c>
      <c r="F243" s="33">
        <v>21</v>
      </c>
      <c r="G243" s="33">
        <v>40</v>
      </c>
      <c r="H243" s="50">
        <v>27</v>
      </c>
      <c r="I243" s="30">
        <v>35440</v>
      </c>
      <c r="J243" s="33">
        <v>492</v>
      </c>
      <c r="K243" s="33">
        <v>438</v>
      </c>
      <c r="L243" s="31">
        <v>1980000000</v>
      </c>
      <c r="M243" s="31">
        <v>6922513.7599999998</v>
      </c>
      <c r="N243" s="31">
        <v>7933000</v>
      </c>
      <c r="O243" s="30">
        <v>236.4</v>
      </c>
      <c r="P243" s="30">
        <v>13960</v>
      </c>
      <c r="Q243" s="31">
        <v>191600000</v>
      </c>
      <c r="R243" s="31">
        <v>1252183.72</v>
      </c>
      <c r="S243" s="31">
        <v>1937000</v>
      </c>
      <c r="T243" s="30">
        <v>73.5</v>
      </c>
      <c r="U243" s="33">
        <v>132.6</v>
      </c>
      <c r="V243" s="31">
        <v>15540000</v>
      </c>
      <c r="W243" s="31">
        <v>13520000000000</v>
      </c>
    </row>
    <row r="244" spans="2:23" x14ac:dyDescent="0.25">
      <c r="B244" s="24" t="s">
        <v>468</v>
      </c>
      <c r="C244" s="32">
        <v>285</v>
      </c>
      <c r="D244" s="33">
        <v>620</v>
      </c>
      <c r="E244" s="33">
        <v>305</v>
      </c>
      <c r="F244" s="33">
        <v>21</v>
      </c>
      <c r="G244" s="33">
        <v>40</v>
      </c>
      <c r="H244" s="50">
        <v>27</v>
      </c>
      <c r="I244" s="30">
        <v>36370</v>
      </c>
      <c r="J244" s="33">
        <v>540</v>
      </c>
      <c r="K244" s="33">
        <v>486</v>
      </c>
      <c r="L244" s="31">
        <v>2374000000</v>
      </c>
      <c r="M244" s="31">
        <v>7660000</v>
      </c>
      <c r="N244" s="31">
        <v>8772000</v>
      </c>
      <c r="O244" s="30">
        <v>255.5</v>
      </c>
      <c r="P244" s="30">
        <v>14969.999999999998</v>
      </c>
      <c r="Q244" s="31">
        <v>189800000</v>
      </c>
      <c r="R244" s="31">
        <v>1244292.1000000001</v>
      </c>
      <c r="S244" s="31">
        <v>1930000</v>
      </c>
      <c r="T244" s="30">
        <v>72.2</v>
      </c>
      <c r="U244" s="33">
        <v>132.6</v>
      </c>
      <c r="V244" s="31">
        <v>15640000</v>
      </c>
      <c r="W244" s="31">
        <v>15910000000000</v>
      </c>
    </row>
    <row r="245" spans="2:23" x14ac:dyDescent="0.25">
      <c r="B245" s="24" t="s">
        <v>469</v>
      </c>
      <c r="C245" s="32">
        <v>293</v>
      </c>
      <c r="D245" s="33">
        <v>668</v>
      </c>
      <c r="E245" s="33">
        <v>305</v>
      </c>
      <c r="F245" s="33">
        <v>21</v>
      </c>
      <c r="G245" s="33">
        <v>40</v>
      </c>
      <c r="H245" s="50">
        <v>27</v>
      </c>
      <c r="I245" s="30">
        <v>37370</v>
      </c>
      <c r="J245" s="33">
        <v>588</v>
      </c>
      <c r="K245" s="33">
        <v>534</v>
      </c>
      <c r="L245" s="31">
        <v>2817000000</v>
      </c>
      <c r="M245" s="31">
        <v>8433158.5500000007</v>
      </c>
      <c r="N245" s="31">
        <v>9657000</v>
      </c>
      <c r="O245" s="30">
        <v>274.5</v>
      </c>
      <c r="P245" s="30">
        <v>15969.999999999998</v>
      </c>
      <c r="Q245" s="31">
        <v>189800000</v>
      </c>
      <c r="R245" s="31">
        <v>1244535.01</v>
      </c>
      <c r="S245" s="31">
        <v>1936000</v>
      </c>
      <c r="T245" s="30">
        <v>71.3</v>
      </c>
      <c r="U245" s="33">
        <v>132.6</v>
      </c>
      <c r="V245" s="31">
        <v>15790000</v>
      </c>
      <c r="W245" s="31">
        <v>18650000000000</v>
      </c>
    </row>
    <row r="246" spans="2:23" x14ac:dyDescent="0.25">
      <c r="B246" s="24" t="s">
        <v>470</v>
      </c>
      <c r="C246" s="32">
        <v>301</v>
      </c>
      <c r="D246" s="33">
        <v>716</v>
      </c>
      <c r="E246" s="33">
        <v>304</v>
      </c>
      <c r="F246" s="33">
        <v>21</v>
      </c>
      <c r="G246" s="33">
        <v>40</v>
      </c>
      <c r="H246" s="50">
        <v>27</v>
      </c>
      <c r="I246" s="30">
        <v>38300</v>
      </c>
      <c r="J246" s="33">
        <v>636</v>
      </c>
      <c r="K246" s="33">
        <v>582</v>
      </c>
      <c r="L246" s="31">
        <v>3293000000</v>
      </c>
      <c r="M246" s="31">
        <v>9197708.4499999993</v>
      </c>
      <c r="N246" s="31">
        <v>10540000</v>
      </c>
      <c r="O246" s="30">
        <v>293.2</v>
      </c>
      <c r="P246" s="30">
        <v>16980</v>
      </c>
      <c r="Q246" s="31">
        <v>188000000</v>
      </c>
      <c r="R246" s="31">
        <v>1240000</v>
      </c>
      <c r="S246" s="31">
        <v>1929000</v>
      </c>
      <c r="T246" s="30">
        <v>70.099999999999994</v>
      </c>
      <c r="U246" s="33">
        <v>132.6</v>
      </c>
      <c r="V246" s="31">
        <v>15890000</v>
      </c>
      <c r="W246" s="31">
        <v>21400000000000</v>
      </c>
    </row>
    <row r="247" spans="2:23" x14ac:dyDescent="0.25">
      <c r="B247" s="63" t="s">
        <v>471</v>
      </c>
      <c r="C247" s="55">
        <v>317</v>
      </c>
      <c r="D247" s="27">
        <v>814</v>
      </c>
      <c r="E247" s="27">
        <v>303</v>
      </c>
      <c r="F247" s="27">
        <v>21</v>
      </c>
      <c r="G247" s="27">
        <v>40</v>
      </c>
      <c r="H247" s="64">
        <v>30</v>
      </c>
      <c r="I247" s="30">
        <v>40430</v>
      </c>
      <c r="J247" s="27">
        <v>734</v>
      </c>
      <c r="K247" s="27">
        <v>674</v>
      </c>
      <c r="L247" s="31">
        <v>4426000000</v>
      </c>
      <c r="M247" s="31">
        <v>10870000</v>
      </c>
      <c r="N247" s="31">
        <v>12490000</v>
      </c>
      <c r="O247" s="30">
        <v>330.90000000000003</v>
      </c>
      <c r="P247" s="30">
        <v>19430</v>
      </c>
      <c r="Q247" s="31">
        <v>186300000</v>
      </c>
      <c r="R247" s="31">
        <v>1230000</v>
      </c>
      <c r="S247" s="31">
        <v>1930000</v>
      </c>
      <c r="T247" s="30">
        <v>67.900000000000006</v>
      </c>
      <c r="U247" s="28">
        <v>136.1</v>
      </c>
      <c r="V247" s="31">
        <v>16460000</v>
      </c>
      <c r="W247" s="31">
        <v>27780000000000</v>
      </c>
    </row>
    <row r="248" spans="2:23" x14ac:dyDescent="0.25">
      <c r="B248" s="24" t="s">
        <v>472</v>
      </c>
      <c r="C248" s="32">
        <v>333</v>
      </c>
      <c r="D248" s="33">
        <v>910</v>
      </c>
      <c r="E248" s="33">
        <v>302</v>
      </c>
      <c r="F248" s="33">
        <v>21</v>
      </c>
      <c r="G248" s="33">
        <v>40</v>
      </c>
      <c r="H248" s="50">
        <v>30</v>
      </c>
      <c r="I248" s="30">
        <v>42360</v>
      </c>
      <c r="J248" s="33">
        <v>830</v>
      </c>
      <c r="K248" s="33">
        <v>770</v>
      </c>
      <c r="L248" s="31">
        <v>5704000000</v>
      </c>
      <c r="M248" s="31">
        <v>12540000</v>
      </c>
      <c r="N248" s="31">
        <v>14440000</v>
      </c>
      <c r="O248" s="30">
        <v>367</v>
      </c>
      <c r="P248" s="30">
        <v>21440</v>
      </c>
      <c r="Q248" s="31">
        <v>184500000</v>
      </c>
      <c r="R248" s="31">
        <v>1220000</v>
      </c>
      <c r="S248" s="31">
        <v>1929000</v>
      </c>
      <c r="T248" s="30">
        <v>66</v>
      </c>
      <c r="U248" s="33">
        <v>136.1</v>
      </c>
      <c r="V248" s="31">
        <v>16710000</v>
      </c>
      <c r="W248" s="31">
        <v>34750000000000</v>
      </c>
    </row>
    <row r="249" spans="2:23" x14ac:dyDescent="0.25">
      <c r="B249" s="24" t="s">
        <v>473</v>
      </c>
      <c r="C249" s="32">
        <v>8.1</v>
      </c>
      <c r="D249" s="33">
        <v>100</v>
      </c>
      <c r="E249" s="33">
        <v>55</v>
      </c>
      <c r="F249" s="33">
        <v>4.0999999999999996</v>
      </c>
      <c r="G249" s="33">
        <v>5.7</v>
      </c>
      <c r="H249" s="50">
        <v>7</v>
      </c>
      <c r="I249" s="30">
        <v>1030</v>
      </c>
      <c r="J249" s="33">
        <v>88.6</v>
      </c>
      <c r="K249" s="33">
        <v>74.599999999999994</v>
      </c>
      <c r="L249" s="31">
        <v>1710000</v>
      </c>
      <c r="M249" s="31">
        <v>34200</v>
      </c>
      <c r="N249" s="31">
        <v>39410</v>
      </c>
      <c r="O249" s="30">
        <v>40.700000000000003</v>
      </c>
      <c r="P249" s="30">
        <v>508</v>
      </c>
      <c r="Q249" s="31">
        <v>159200</v>
      </c>
      <c r="R249" s="31">
        <v>5790</v>
      </c>
      <c r="S249" s="31">
        <v>9150</v>
      </c>
      <c r="T249" s="30">
        <v>12.4</v>
      </c>
      <c r="U249" s="33">
        <v>23.7</v>
      </c>
      <c r="V249" s="31">
        <v>12000</v>
      </c>
      <c r="W249" s="31">
        <v>350000000</v>
      </c>
    </row>
    <row r="250" spans="2:23" x14ac:dyDescent="0.25">
      <c r="B250" s="24" t="s">
        <v>474</v>
      </c>
      <c r="C250" s="32">
        <v>6.9</v>
      </c>
      <c r="D250" s="33">
        <v>98</v>
      </c>
      <c r="E250" s="33">
        <v>55</v>
      </c>
      <c r="F250" s="33">
        <v>3.6</v>
      </c>
      <c r="G250" s="33">
        <v>4.7</v>
      </c>
      <c r="H250" s="50">
        <v>7</v>
      </c>
      <c r="I250" s="30">
        <v>877.99999999999989</v>
      </c>
      <c r="J250" s="33">
        <v>88.6</v>
      </c>
      <c r="K250" s="33">
        <v>74.599999999999994</v>
      </c>
      <c r="L250" s="31">
        <v>1412000</v>
      </c>
      <c r="M250" s="31">
        <v>28810</v>
      </c>
      <c r="N250" s="31">
        <v>32980</v>
      </c>
      <c r="O250" s="30">
        <v>40.099999999999994</v>
      </c>
      <c r="P250" s="30">
        <v>444.00000000000006</v>
      </c>
      <c r="Q250" s="31">
        <v>131200</v>
      </c>
      <c r="R250" s="31">
        <v>4770</v>
      </c>
      <c r="S250" s="31">
        <v>7540</v>
      </c>
      <c r="T250" s="30">
        <v>12.2</v>
      </c>
      <c r="U250" s="33">
        <v>21.2</v>
      </c>
      <c r="V250" s="31">
        <v>7700</v>
      </c>
      <c r="W250" s="31">
        <v>280000000</v>
      </c>
    </row>
    <row r="251" spans="2:23" x14ac:dyDescent="0.25">
      <c r="B251" s="24" t="s">
        <v>475</v>
      </c>
      <c r="C251" s="32">
        <v>6.7</v>
      </c>
      <c r="D251" s="33">
        <v>97.6</v>
      </c>
      <c r="E251" s="33">
        <v>55</v>
      </c>
      <c r="F251" s="33">
        <v>3.6</v>
      </c>
      <c r="G251" s="33">
        <v>4.5</v>
      </c>
      <c r="H251" s="50">
        <v>7</v>
      </c>
      <c r="I251" s="30">
        <v>856</v>
      </c>
      <c r="J251" s="33">
        <v>88.6</v>
      </c>
      <c r="K251" s="33">
        <v>74.599999999999994</v>
      </c>
      <c r="L251" s="31">
        <v>1359000</v>
      </c>
      <c r="M251" s="31">
        <v>27850</v>
      </c>
      <c r="N251" s="31">
        <v>31900</v>
      </c>
      <c r="O251" s="30">
        <v>39.799999999999997</v>
      </c>
      <c r="P251" s="30">
        <v>440.00000000000006</v>
      </c>
      <c r="Q251" s="31">
        <v>125700</v>
      </c>
      <c r="R251" s="31">
        <v>4570</v>
      </c>
      <c r="S251" s="31">
        <v>7230</v>
      </c>
      <c r="T251" s="30">
        <v>12.1</v>
      </c>
      <c r="U251" s="33">
        <v>20.8</v>
      </c>
      <c r="V251" s="31">
        <v>7300</v>
      </c>
      <c r="W251" s="31">
        <v>270000000</v>
      </c>
    </row>
    <row r="252" spans="2:23" x14ac:dyDescent="0.25">
      <c r="B252" s="24" t="s">
        <v>476</v>
      </c>
      <c r="C252" s="32">
        <v>10.4</v>
      </c>
      <c r="D252" s="33">
        <v>120</v>
      </c>
      <c r="E252" s="33">
        <v>64</v>
      </c>
      <c r="F252" s="33">
        <v>4.4000000000000004</v>
      </c>
      <c r="G252" s="33">
        <v>6.3</v>
      </c>
      <c r="H252" s="50">
        <v>7</v>
      </c>
      <c r="I252" s="30">
        <v>1320</v>
      </c>
      <c r="J252" s="33">
        <v>107.4</v>
      </c>
      <c r="K252" s="33">
        <v>93.4</v>
      </c>
      <c r="L252" s="31">
        <v>3178000</v>
      </c>
      <c r="M252" s="31">
        <v>52960</v>
      </c>
      <c r="N252" s="31">
        <v>60730</v>
      </c>
      <c r="O252" s="30">
        <v>49</v>
      </c>
      <c r="P252" s="30">
        <v>631</v>
      </c>
      <c r="Q252" s="31">
        <v>276700</v>
      </c>
      <c r="R252" s="31">
        <v>8650</v>
      </c>
      <c r="S252" s="31">
        <v>13580</v>
      </c>
      <c r="T252" s="30">
        <v>14.5</v>
      </c>
      <c r="U252" s="33">
        <v>25.2</v>
      </c>
      <c r="V252" s="31">
        <v>17400</v>
      </c>
      <c r="W252" s="31">
        <v>890000000</v>
      </c>
    </row>
    <row r="253" spans="2:23" x14ac:dyDescent="0.25">
      <c r="B253" s="24" t="s">
        <v>477</v>
      </c>
      <c r="C253" s="32">
        <v>8.6584055599999985</v>
      </c>
      <c r="D253" s="33">
        <v>117.6</v>
      </c>
      <c r="E253" s="33">
        <v>64</v>
      </c>
      <c r="F253" s="33">
        <v>3.8</v>
      </c>
      <c r="G253" s="33">
        <v>5.0999999999999996</v>
      </c>
      <c r="H253" s="50">
        <v>7</v>
      </c>
      <c r="I253" s="30">
        <v>1100</v>
      </c>
      <c r="J253" s="33">
        <v>107.4</v>
      </c>
      <c r="K253" s="33">
        <v>93.4</v>
      </c>
      <c r="L253" s="31">
        <v>2574000</v>
      </c>
      <c r="M253" s="31">
        <v>43770</v>
      </c>
      <c r="N253" s="31">
        <v>49870</v>
      </c>
      <c r="O253" s="30">
        <v>48.3</v>
      </c>
      <c r="P253" s="30">
        <v>541</v>
      </c>
      <c r="Q253" s="31">
        <v>223900</v>
      </c>
      <c r="R253" s="31">
        <v>7000</v>
      </c>
      <c r="S253" s="31">
        <v>10980</v>
      </c>
      <c r="T253" s="30">
        <v>14.2</v>
      </c>
      <c r="U253" s="33">
        <v>22.2</v>
      </c>
      <c r="V253" s="31">
        <v>10400</v>
      </c>
      <c r="W253" s="31">
        <v>710000000</v>
      </c>
    </row>
    <row r="254" spans="2:23" x14ac:dyDescent="0.25">
      <c r="B254" s="24" t="s">
        <v>478</v>
      </c>
      <c r="C254" s="32">
        <v>8.4</v>
      </c>
      <c r="D254" s="33">
        <v>117</v>
      </c>
      <c r="E254" s="33">
        <v>64</v>
      </c>
      <c r="F254" s="33">
        <v>3.8</v>
      </c>
      <c r="G254" s="33">
        <v>4.8</v>
      </c>
      <c r="H254" s="50">
        <v>7</v>
      </c>
      <c r="I254" s="30">
        <v>1065</v>
      </c>
      <c r="J254" s="33">
        <v>107.4</v>
      </c>
      <c r="K254" s="33">
        <v>93.4</v>
      </c>
      <c r="L254" s="31">
        <v>2442000</v>
      </c>
      <c r="M254" s="31">
        <v>41740</v>
      </c>
      <c r="N254" s="31">
        <v>47620</v>
      </c>
      <c r="O254" s="30">
        <v>47.9</v>
      </c>
      <c r="P254" s="30">
        <v>536</v>
      </c>
      <c r="Q254" s="31">
        <v>210799.99999999997</v>
      </c>
      <c r="R254" s="31">
        <v>6590</v>
      </c>
      <c r="S254" s="31">
        <v>10360</v>
      </c>
      <c r="T254" s="30">
        <v>14.1</v>
      </c>
      <c r="U254" s="33">
        <v>21.6</v>
      </c>
      <c r="V254" s="31">
        <v>9500</v>
      </c>
      <c r="W254" s="31">
        <v>660000000</v>
      </c>
    </row>
    <row r="255" spans="2:23" x14ac:dyDescent="0.25">
      <c r="B255" s="24" t="s">
        <v>479</v>
      </c>
      <c r="C255" s="32">
        <v>12.9</v>
      </c>
      <c r="D255" s="33">
        <v>140</v>
      </c>
      <c r="E255" s="33">
        <v>73</v>
      </c>
      <c r="F255" s="33">
        <v>4.7</v>
      </c>
      <c r="G255" s="33">
        <v>6.9</v>
      </c>
      <c r="H255" s="50">
        <v>7</v>
      </c>
      <c r="I255" s="30">
        <v>1639.9999999999998</v>
      </c>
      <c r="J255" s="33">
        <v>126.2</v>
      </c>
      <c r="K255" s="33">
        <v>112.2</v>
      </c>
      <c r="L255" s="31">
        <v>5412000</v>
      </c>
      <c r="M255" s="31">
        <v>77320</v>
      </c>
      <c r="N255" s="31">
        <v>88340</v>
      </c>
      <c r="O255" s="30">
        <v>57.400000000000006</v>
      </c>
      <c r="P255" s="30">
        <v>764</v>
      </c>
      <c r="Q255" s="31">
        <v>449200</v>
      </c>
      <c r="R255" s="31">
        <v>12310</v>
      </c>
      <c r="S255" s="31">
        <v>19250</v>
      </c>
      <c r="T255" s="30">
        <v>16.5</v>
      </c>
      <c r="U255" s="33">
        <v>26.7</v>
      </c>
      <c r="V255" s="31">
        <v>24500</v>
      </c>
      <c r="W255" s="31">
        <v>1980000000</v>
      </c>
    </row>
    <row r="256" spans="2:23" x14ac:dyDescent="0.25">
      <c r="B256" s="24" t="s">
        <v>480</v>
      </c>
      <c r="C256" s="32">
        <v>10.5</v>
      </c>
      <c r="D256" s="33">
        <v>137.4</v>
      </c>
      <c r="E256" s="33">
        <v>73</v>
      </c>
      <c r="F256" s="33">
        <v>3.8</v>
      </c>
      <c r="G256" s="33">
        <v>5.6</v>
      </c>
      <c r="H256" s="50">
        <v>7</v>
      </c>
      <c r="I256" s="30">
        <v>1340</v>
      </c>
      <c r="J256" s="33">
        <v>126.2</v>
      </c>
      <c r="K256" s="33">
        <v>112.2</v>
      </c>
      <c r="L256" s="31">
        <v>4349000</v>
      </c>
      <c r="M256" s="31">
        <v>63300</v>
      </c>
      <c r="N256" s="31">
        <v>71600</v>
      </c>
      <c r="O256" s="30">
        <v>57</v>
      </c>
      <c r="P256" s="30">
        <v>621</v>
      </c>
      <c r="Q256" s="31">
        <v>364200</v>
      </c>
      <c r="R256" s="31">
        <v>9980</v>
      </c>
      <c r="S256" s="31">
        <v>15520</v>
      </c>
      <c r="T256" s="30">
        <v>16.5</v>
      </c>
      <c r="U256" s="33">
        <v>23.2</v>
      </c>
      <c r="V256" s="31">
        <v>13600.000000000002</v>
      </c>
      <c r="W256" s="31">
        <v>1580000000</v>
      </c>
    </row>
    <row r="257" spans="2:23" x14ac:dyDescent="0.25">
      <c r="B257" s="24" t="s">
        <v>481</v>
      </c>
      <c r="C257" s="32">
        <v>10.1</v>
      </c>
      <c r="D257" s="33">
        <v>136.6</v>
      </c>
      <c r="E257" s="33">
        <v>73</v>
      </c>
      <c r="F257" s="33">
        <v>3.8</v>
      </c>
      <c r="G257" s="33">
        <v>5.2</v>
      </c>
      <c r="H257" s="50">
        <v>7</v>
      </c>
      <c r="I257" s="30">
        <v>1281</v>
      </c>
      <c r="J257" s="33">
        <v>126.2</v>
      </c>
      <c r="K257" s="33">
        <v>112.2</v>
      </c>
      <c r="L257" s="31">
        <v>4070000</v>
      </c>
      <c r="M257" s="31">
        <v>59660</v>
      </c>
      <c r="N257" s="31">
        <v>67600</v>
      </c>
      <c r="O257" s="30">
        <v>56.4</v>
      </c>
      <c r="P257" s="30">
        <v>614</v>
      </c>
      <c r="Q257" s="31">
        <v>338300</v>
      </c>
      <c r="R257" s="31">
        <v>9270</v>
      </c>
      <c r="S257" s="31">
        <v>14460</v>
      </c>
      <c r="T257" s="30">
        <v>16.299999999999997</v>
      </c>
      <c r="U257" s="33">
        <v>22.4</v>
      </c>
      <c r="V257" s="31">
        <v>11900</v>
      </c>
      <c r="W257" s="31">
        <v>1460000000</v>
      </c>
    </row>
    <row r="258" spans="2:23" x14ac:dyDescent="0.25">
      <c r="B258" s="24" t="s">
        <v>482</v>
      </c>
      <c r="C258" s="32">
        <v>15.8</v>
      </c>
      <c r="D258" s="33">
        <v>160</v>
      </c>
      <c r="E258" s="33">
        <v>82</v>
      </c>
      <c r="F258" s="33">
        <v>5</v>
      </c>
      <c r="G258" s="33">
        <v>7.4</v>
      </c>
      <c r="H258" s="50">
        <v>9</v>
      </c>
      <c r="I258" s="30">
        <v>2010.0000000000002</v>
      </c>
      <c r="J258" s="33">
        <v>145.19999999999999</v>
      </c>
      <c r="K258" s="33">
        <v>127.2</v>
      </c>
      <c r="L258" s="31">
        <v>8693000</v>
      </c>
      <c r="M258" s="31">
        <v>108700</v>
      </c>
      <c r="N258" s="31">
        <v>123900</v>
      </c>
      <c r="O258" s="30">
        <v>65.8</v>
      </c>
      <c r="P258" s="30">
        <v>966</v>
      </c>
      <c r="Q258" s="31">
        <v>683100</v>
      </c>
      <c r="R258" s="31">
        <v>16660</v>
      </c>
      <c r="S258" s="31">
        <v>26100</v>
      </c>
      <c r="T258" s="30">
        <v>18.400000000000002</v>
      </c>
      <c r="U258" s="33">
        <v>30.34</v>
      </c>
      <c r="V258" s="31">
        <v>36000</v>
      </c>
      <c r="W258" s="31">
        <v>3960000000</v>
      </c>
    </row>
    <row r="259" spans="2:23" x14ac:dyDescent="0.25">
      <c r="B259" s="24" t="s">
        <v>483</v>
      </c>
      <c r="C259" s="32">
        <v>12.7</v>
      </c>
      <c r="D259" s="33">
        <v>157</v>
      </c>
      <c r="E259" s="33">
        <v>82</v>
      </c>
      <c r="F259" s="33">
        <v>4</v>
      </c>
      <c r="G259" s="33">
        <v>5.9</v>
      </c>
      <c r="H259" s="50">
        <v>9</v>
      </c>
      <c r="I259" s="30">
        <v>1620</v>
      </c>
      <c r="J259" s="33">
        <v>145.19999999999999</v>
      </c>
      <c r="K259" s="33">
        <v>127.2</v>
      </c>
      <c r="L259" s="31">
        <v>6893000</v>
      </c>
      <c r="M259" s="31">
        <v>87810</v>
      </c>
      <c r="N259" s="31">
        <v>99090</v>
      </c>
      <c r="O259" s="30">
        <v>65.3</v>
      </c>
      <c r="P259" s="30">
        <v>780</v>
      </c>
      <c r="Q259" s="31">
        <v>544300</v>
      </c>
      <c r="R259" s="31">
        <v>13270</v>
      </c>
      <c r="S259" s="31">
        <v>20700</v>
      </c>
      <c r="T259" s="30">
        <v>18.3</v>
      </c>
      <c r="U259" s="33">
        <v>26.34</v>
      </c>
      <c r="V259" s="31">
        <v>19600</v>
      </c>
      <c r="W259" s="31">
        <v>3090000000</v>
      </c>
    </row>
    <row r="260" spans="2:23" x14ac:dyDescent="0.25">
      <c r="B260" s="24" t="s">
        <v>484</v>
      </c>
      <c r="C260" s="32">
        <v>12.1</v>
      </c>
      <c r="D260" s="33">
        <v>156.4</v>
      </c>
      <c r="E260" s="33">
        <v>82</v>
      </c>
      <c r="F260" s="33">
        <v>4</v>
      </c>
      <c r="G260" s="33">
        <v>5.6</v>
      </c>
      <c r="H260" s="50">
        <v>7</v>
      </c>
      <c r="I260" s="30">
        <v>1540</v>
      </c>
      <c r="J260" s="33">
        <v>145.19999999999999</v>
      </c>
      <c r="K260" s="33">
        <v>131.19999999999999</v>
      </c>
      <c r="L260" s="31">
        <v>6456000</v>
      </c>
      <c r="M260" s="31">
        <v>82560</v>
      </c>
      <c r="N260" s="31">
        <v>93320</v>
      </c>
      <c r="O260" s="30">
        <v>64.7</v>
      </c>
      <c r="P260" s="30">
        <v>724</v>
      </c>
      <c r="Q260" s="31">
        <v>516000</v>
      </c>
      <c r="R260" s="31">
        <v>12590</v>
      </c>
      <c r="S260" s="31">
        <v>19560</v>
      </c>
      <c r="T260" s="30">
        <v>18.3</v>
      </c>
      <c r="U260" s="33">
        <v>23.4</v>
      </c>
      <c r="V260" s="31">
        <v>15700</v>
      </c>
      <c r="W260" s="31">
        <v>2930000000</v>
      </c>
    </row>
    <row r="261" spans="2:23" x14ac:dyDescent="0.25">
      <c r="B261" s="24" t="s">
        <v>485</v>
      </c>
      <c r="C261" s="32">
        <v>18.8</v>
      </c>
      <c r="D261" s="33">
        <v>180</v>
      </c>
      <c r="E261" s="33">
        <v>91</v>
      </c>
      <c r="F261" s="33">
        <v>5.3</v>
      </c>
      <c r="G261" s="33">
        <v>8</v>
      </c>
      <c r="H261" s="50">
        <v>9</v>
      </c>
      <c r="I261" s="30">
        <v>2390</v>
      </c>
      <c r="J261" s="33">
        <v>164</v>
      </c>
      <c r="K261" s="33">
        <v>146</v>
      </c>
      <c r="L261" s="31">
        <v>13170000</v>
      </c>
      <c r="M261" s="31">
        <v>146300</v>
      </c>
      <c r="N261" s="31">
        <v>166400</v>
      </c>
      <c r="O261" s="30">
        <v>74.2</v>
      </c>
      <c r="P261" s="30">
        <v>1125</v>
      </c>
      <c r="Q261" s="31">
        <v>1009000</v>
      </c>
      <c r="R261" s="31">
        <v>22160</v>
      </c>
      <c r="S261" s="31">
        <v>34600</v>
      </c>
      <c r="T261" s="30">
        <v>20.5</v>
      </c>
      <c r="U261" s="33">
        <v>31.84</v>
      </c>
      <c r="V261" s="31">
        <v>47900</v>
      </c>
      <c r="W261" s="31">
        <v>7430000000</v>
      </c>
    </row>
    <row r="262" spans="2:23" x14ac:dyDescent="0.25">
      <c r="B262" s="24" t="s">
        <v>486</v>
      </c>
      <c r="C262" s="32">
        <v>15.4</v>
      </c>
      <c r="D262" s="33">
        <v>177</v>
      </c>
      <c r="E262" s="33">
        <v>91</v>
      </c>
      <c r="F262" s="33">
        <v>4.3</v>
      </c>
      <c r="G262" s="33">
        <v>6.5</v>
      </c>
      <c r="H262" s="50">
        <v>9</v>
      </c>
      <c r="I262" s="30">
        <v>1960.0000000000002</v>
      </c>
      <c r="J262" s="33">
        <v>164</v>
      </c>
      <c r="K262" s="33">
        <v>146</v>
      </c>
      <c r="L262" s="31">
        <v>10630000</v>
      </c>
      <c r="M262" s="31">
        <v>120100</v>
      </c>
      <c r="N262" s="31">
        <v>135300</v>
      </c>
      <c r="O262" s="30">
        <v>73.7</v>
      </c>
      <c r="P262" s="30">
        <v>919.99999999999989</v>
      </c>
      <c r="Q262" s="31">
        <v>818900</v>
      </c>
      <c r="R262" s="31">
        <v>18000</v>
      </c>
      <c r="S262" s="31">
        <v>27960</v>
      </c>
      <c r="T262" s="30">
        <v>20.5</v>
      </c>
      <c r="U262" s="33">
        <v>27.84</v>
      </c>
      <c r="V262" s="31">
        <v>27000</v>
      </c>
      <c r="W262" s="31">
        <v>5930000000</v>
      </c>
    </row>
    <row r="263" spans="2:23" x14ac:dyDescent="0.25">
      <c r="B263" s="24" t="s">
        <v>487</v>
      </c>
      <c r="C263" s="32">
        <v>14.9</v>
      </c>
      <c r="D263" s="33">
        <v>176.4</v>
      </c>
      <c r="E263" s="33">
        <v>91</v>
      </c>
      <c r="F263" s="33">
        <v>4.3</v>
      </c>
      <c r="G263" s="33">
        <v>6.2</v>
      </c>
      <c r="H263" s="50">
        <v>9</v>
      </c>
      <c r="I263" s="30">
        <v>1903</v>
      </c>
      <c r="J263" s="33">
        <v>164</v>
      </c>
      <c r="K263" s="33">
        <v>146</v>
      </c>
      <c r="L263" s="31">
        <v>10200000</v>
      </c>
      <c r="M263" s="31">
        <v>115700</v>
      </c>
      <c r="N263" s="31">
        <v>130500</v>
      </c>
      <c r="O263" s="30">
        <v>73.2</v>
      </c>
      <c r="P263" s="30">
        <v>913.00000000000011</v>
      </c>
      <c r="Q263" s="31">
        <v>781200</v>
      </c>
      <c r="R263" s="31">
        <v>17170</v>
      </c>
      <c r="S263" s="31">
        <v>26720</v>
      </c>
      <c r="T263" s="30">
        <v>20.299999999999997</v>
      </c>
      <c r="U263" s="33">
        <v>27.24</v>
      </c>
      <c r="V263" s="31">
        <v>24800</v>
      </c>
      <c r="W263" s="31">
        <v>5640000000</v>
      </c>
    </row>
    <row r="264" spans="2:23" x14ac:dyDescent="0.25">
      <c r="B264" s="24" t="s">
        <v>488</v>
      </c>
      <c r="C264" s="32">
        <v>21.3</v>
      </c>
      <c r="D264" s="33">
        <v>182</v>
      </c>
      <c r="E264" s="33">
        <v>92</v>
      </c>
      <c r="F264" s="33">
        <v>6</v>
      </c>
      <c r="G264" s="33">
        <v>9</v>
      </c>
      <c r="H264" s="50">
        <v>9</v>
      </c>
      <c r="I264" s="30">
        <v>2710</v>
      </c>
      <c r="J264" s="33">
        <v>164</v>
      </c>
      <c r="K264" s="33">
        <v>146</v>
      </c>
      <c r="L264" s="31">
        <v>15050000</v>
      </c>
      <c r="M264" s="31">
        <v>165400</v>
      </c>
      <c r="N264" s="31">
        <v>189100</v>
      </c>
      <c r="O264" s="30">
        <v>74.5</v>
      </c>
      <c r="P264" s="30">
        <v>1270</v>
      </c>
      <c r="Q264" s="31">
        <v>1173000</v>
      </c>
      <c r="R264" s="31">
        <v>25500</v>
      </c>
      <c r="S264" s="31">
        <v>39910</v>
      </c>
      <c r="T264" s="30">
        <v>20.8</v>
      </c>
      <c r="U264" s="33">
        <v>34.54</v>
      </c>
      <c r="V264" s="31">
        <v>67600</v>
      </c>
      <c r="W264" s="31">
        <v>8740000000</v>
      </c>
    </row>
    <row r="265" spans="2:23" x14ac:dyDescent="0.25">
      <c r="B265" s="24" t="s">
        <v>489</v>
      </c>
      <c r="C265" s="32">
        <v>22.4</v>
      </c>
      <c r="D265" s="33">
        <v>200</v>
      </c>
      <c r="E265" s="33">
        <v>100</v>
      </c>
      <c r="F265" s="33">
        <v>5.6</v>
      </c>
      <c r="G265" s="33">
        <v>8.5</v>
      </c>
      <c r="H265" s="50">
        <v>12</v>
      </c>
      <c r="I265" s="30">
        <v>2850</v>
      </c>
      <c r="J265" s="33">
        <v>183</v>
      </c>
      <c r="K265" s="33">
        <v>159</v>
      </c>
      <c r="L265" s="31">
        <v>19430000</v>
      </c>
      <c r="M265" s="31">
        <v>194300</v>
      </c>
      <c r="N265" s="31">
        <v>220600</v>
      </c>
      <c r="O265" s="30">
        <v>82.6</v>
      </c>
      <c r="P265" s="30">
        <v>1400</v>
      </c>
      <c r="Q265" s="31">
        <v>1424000</v>
      </c>
      <c r="R265" s="31">
        <v>28470</v>
      </c>
      <c r="S265" s="31">
        <v>44610</v>
      </c>
      <c r="T265" s="30">
        <v>22.400000000000002</v>
      </c>
      <c r="U265" s="33">
        <v>36.659999999999997</v>
      </c>
      <c r="V265" s="31">
        <v>69800</v>
      </c>
      <c r="W265" s="31">
        <v>12990000000</v>
      </c>
    </row>
    <row r="266" spans="2:23" x14ac:dyDescent="0.25">
      <c r="B266" s="24" t="s">
        <v>490</v>
      </c>
      <c r="C266" s="32">
        <v>18.399999999999999</v>
      </c>
      <c r="D266" s="33">
        <v>197</v>
      </c>
      <c r="E266" s="33">
        <v>100</v>
      </c>
      <c r="F266" s="33">
        <v>4.5</v>
      </c>
      <c r="G266" s="33">
        <v>7</v>
      </c>
      <c r="H266" s="50">
        <v>12</v>
      </c>
      <c r="I266" s="30">
        <v>2350</v>
      </c>
      <c r="J266" s="33">
        <v>183</v>
      </c>
      <c r="K266" s="33">
        <v>159</v>
      </c>
      <c r="L266" s="31">
        <v>15910000</v>
      </c>
      <c r="M266" s="31">
        <v>161600</v>
      </c>
      <c r="N266" s="31">
        <v>181700</v>
      </c>
      <c r="O266" s="30">
        <v>82.300000000000011</v>
      </c>
      <c r="P266" s="30">
        <v>1147</v>
      </c>
      <c r="Q266" s="31">
        <v>1172000</v>
      </c>
      <c r="R266" s="31">
        <v>23430</v>
      </c>
      <c r="S266" s="31">
        <v>36540</v>
      </c>
      <c r="T266" s="30">
        <v>22.3</v>
      </c>
      <c r="U266" s="33">
        <v>32.56</v>
      </c>
      <c r="V266" s="31">
        <v>41100</v>
      </c>
      <c r="W266" s="31">
        <v>10530000000</v>
      </c>
    </row>
    <row r="267" spans="2:23" x14ac:dyDescent="0.25">
      <c r="B267" s="24" t="s">
        <v>491</v>
      </c>
      <c r="C267" s="32">
        <v>18</v>
      </c>
      <c r="D267" s="33">
        <v>196.4</v>
      </c>
      <c r="E267" s="33">
        <v>100</v>
      </c>
      <c r="F267" s="33">
        <v>4.5</v>
      </c>
      <c r="G267" s="33">
        <v>6.7</v>
      </c>
      <c r="H267" s="50">
        <v>12</v>
      </c>
      <c r="I267" s="30">
        <v>2287</v>
      </c>
      <c r="J267" s="33">
        <v>183</v>
      </c>
      <c r="K267" s="33">
        <v>159</v>
      </c>
      <c r="L267" s="31">
        <v>15330000</v>
      </c>
      <c r="M267" s="31">
        <v>156200</v>
      </c>
      <c r="N267" s="31">
        <v>175800</v>
      </c>
      <c r="O267" s="30">
        <v>81.899999999999991</v>
      </c>
      <c r="P267" s="30">
        <v>1138</v>
      </c>
      <c r="Q267" s="31">
        <v>1122000</v>
      </c>
      <c r="R267" s="31">
        <v>22430</v>
      </c>
      <c r="S267" s="31">
        <v>35040</v>
      </c>
      <c r="T267" s="30">
        <v>22.1</v>
      </c>
      <c r="U267" s="33">
        <v>31.96</v>
      </c>
      <c r="V267" s="31">
        <v>38400</v>
      </c>
      <c r="W267" s="31">
        <v>10050000000</v>
      </c>
    </row>
    <row r="268" spans="2:23" x14ac:dyDescent="0.25">
      <c r="B268" s="24" t="s">
        <v>492</v>
      </c>
      <c r="C268" s="32">
        <v>25.1</v>
      </c>
      <c r="D268" s="33">
        <v>202</v>
      </c>
      <c r="E268" s="33">
        <v>102</v>
      </c>
      <c r="F268" s="33">
        <v>6.2</v>
      </c>
      <c r="G268" s="33">
        <v>9.5</v>
      </c>
      <c r="H268" s="50">
        <v>12</v>
      </c>
      <c r="I268" s="30">
        <v>3200</v>
      </c>
      <c r="J268" s="33">
        <v>183</v>
      </c>
      <c r="K268" s="33">
        <v>159</v>
      </c>
      <c r="L268" s="31">
        <v>22110000</v>
      </c>
      <c r="M268" s="31">
        <v>218900</v>
      </c>
      <c r="N268" s="31">
        <v>249400</v>
      </c>
      <c r="O268" s="30">
        <v>83.2</v>
      </c>
      <c r="P268" s="30">
        <v>1545</v>
      </c>
      <c r="Q268" s="31">
        <v>1689000</v>
      </c>
      <c r="R268" s="31">
        <v>33110</v>
      </c>
      <c r="S268" s="31">
        <v>51890</v>
      </c>
      <c r="T268" s="30">
        <v>23</v>
      </c>
      <c r="U268" s="33">
        <v>39.26</v>
      </c>
      <c r="V268" s="31">
        <v>94500</v>
      </c>
      <c r="W268" s="31">
        <v>15570000000</v>
      </c>
    </row>
    <row r="269" spans="2:23" x14ac:dyDescent="0.25">
      <c r="B269" s="24" t="s">
        <v>493</v>
      </c>
      <c r="C269" s="32">
        <v>26.2</v>
      </c>
      <c r="D269" s="33">
        <v>220</v>
      </c>
      <c r="E269" s="33">
        <v>110</v>
      </c>
      <c r="F269" s="33">
        <v>5.9</v>
      </c>
      <c r="G269" s="33">
        <v>9.1999999999999993</v>
      </c>
      <c r="H269" s="50">
        <v>12</v>
      </c>
      <c r="I269" s="30">
        <v>3340</v>
      </c>
      <c r="J269" s="33">
        <v>201.6</v>
      </c>
      <c r="K269" s="33">
        <v>177.6</v>
      </c>
      <c r="L269" s="31">
        <v>27720000</v>
      </c>
      <c r="M269" s="31">
        <v>252000</v>
      </c>
      <c r="N269" s="31">
        <v>285400</v>
      </c>
      <c r="O269" s="30">
        <v>91.1</v>
      </c>
      <c r="P269" s="30">
        <v>1588</v>
      </c>
      <c r="Q269" s="31">
        <v>2049000</v>
      </c>
      <c r="R269" s="31">
        <v>37250</v>
      </c>
      <c r="S269" s="31">
        <v>58110</v>
      </c>
      <c r="T269" s="30">
        <v>24.8</v>
      </c>
      <c r="U269" s="33">
        <v>38.36</v>
      </c>
      <c r="V269" s="31">
        <v>90700</v>
      </c>
      <c r="W269" s="31">
        <v>22670000000</v>
      </c>
    </row>
    <row r="270" spans="2:23" x14ac:dyDescent="0.25">
      <c r="B270" s="24" t="s">
        <v>494</v>
      </c>
      <c r="C270" s="32">
        <v>22.2</v>
      </c>
      <c r="D270" s="33">
        <v>217</v>
      </c>
      <c r="E270" s="33">
        <v>110</v>
      </c>
      <c r="F270" s="33">
        <v>5</v>
      </c>
      <c r="G270" s="33">
        <v>7.7</v>
      </c>
      <c r="H270" s="50">
        <v>12</v>
      </c>
      <c r="I270" s="30">
        <v>2830</v>
      </c>
      <c r="J270" s="33">
        <v>201.6</v>
      </c>
      <c r="K270" s="33">
        <v>177.6</v>
      </c>
      <c r="L270" s="31">
        <v>23170000</v>
      </c>
      <c r="M270" s="31">
        <v>213500</v>
      </c>
      <c r="N270" s="31">
        <v>240200</v>
      </c>
      <c r="O270" s="30">
        <v>90.5</v>
      </c>
      <c r="P270" s="30">
        <v>1355</v>
      </c>
      <c r="Q270" s="31">
        <v>1714000</v>
      </c>
      <c r="R270" s="31">
        <v>31170</v>
      </c>
      <c r="S270" s="31">
        <v>48490</v>
      </c>
      <c r="T270" s="30">
        <v>24.6</v>
      </c>
      <c r="U270" s="33">
        <v>34.46</v>
      </c>
      <c r="V270" s="31">
        <v>56900.000000000007</v>
      </c>
      <c r="W270" s="31">
        <v>18710000000</v>
      </c>
    </row>
    <row r="271" spans="2:23" x14ac:dyDescent="0.25">
      <c r="B271" s="24" t="s">
        <v>495</v>
      </c>
      <c r="C271" s="32">
        <v>21.2</v>
      </c>
      <c r="D271" s="33">
        <v>216.4</v>
      </c>
      <c r="E271" s="33">
        <v>110</v>
      </c>
      <c r="F271" s="33">
        <v>4.7</v>
      </c>
      <c r="G271" s="33">
        <v>7.4</v>
      </c>
      <c r="H271" s="50">
        <v>12</v>
      </c>
      <c r="I271" s="30">
        <v>2699</v>
      </c>
      <c r="J271" s="33">
        <v>201.6</v>
      </c>
      <c r="K271" s="33">
        <v>177.6</v>
      </c>
      <c r="L271" s="31">
        <v>22190000</v>
      </c>
      <c r="M271" s="31">
        <v>205000</v>
      </c>
      <c r="N271" s="31">
        <v>230000</v>
      </c>
      <c r="O271" s="30">
        <v>90.7</v>
      </c>
      <c r="P271" s="30">
        <v>1284</v>
      </c>
      <c r="Q271" s="31">
        <v>1647000</v>
      </c>
      <c r="R271" s="31">
        <v>29900</v>
      </c>
      <c r="S271" s="31">
        <v>46510</v>
      </c>
      <c r="T271" s="30">
        <v>24.700000000000003</v>
      </c>
      <c r="U271" s="33">
        <v>33.56</v>
      </c>
      <c r="V271" s="31">
        <v>50199.999999999993</v>
      </c>
      <c r="W271" s="31">
        <v>17930000000</v>
      </c>
    </row>
    <row r="272" spans="2:23" x14ac:dyDescent="0.25">
      <c r="B272" s="24" t="s">
        <v>496</v>
      </c>
      <c r="C272" s="32">
        <v>29.4</v>
      </c>
      <c r="D272" s="33">
        <v>222</v>
      </c>
      <c r="E272" s="33">
        <v>112</v>
      </c>
      <c r="F272" s="33">
        <v>6.6</v>
      </c>
      <c r="G272" s="33">
        <v>10.199999999999999</v>
      </c>
      <c r="H272" s="50">
        <v>12</v>
      </c>
      <c r="I272" s="30">
        <v>3740</v>
      </c>
      <c r="J272" s="33">
        <v>201.6</v>
      </c>
      <c r="K272" s="33">
        <v>177.6</v>
      </c>
      <c r="L272" s="31">
        <v>31340000</v>
      </c>
      <c r="M272" s="31">
        <v>282300</v>
      </c>
      <c r="N272" s="31">
        <v>321100</v>
      </c>
      <c r="O272" s="30">
        <v>91.6</v>
      </c>
      <c r="P272" s="30">
        <v>1766</v>
      </c>
      <c r="Q272" s="31">
        <v>2398000</v>
      </c>
      <c r="R272" s="31">
        <v>42830</v>
      </c>
      <c r="S272" s="31">
        <v>66910</v>
      </c>
      <c r="T272" s="30">
        <v>25.299999999999997</v>
      </c>
      <c r="U272" s="33">
        <v>41.06</v>
      </c>
      <c r="V272" s="31">
        <v>122700</v>
      </c>
      <c r="W272" s="31">
        <v>26790000000</v>
      </c>
    </row>
    <row r="273" spans="2:23" x14ac:dyDescent="0.25">
      <c r="B273" s="24" t="s">
        <v>497</v>
      </c>
      <c r="C273" s="32">
        <v>30.7</v>
      </c>
      <c r="D273" s="33">
        <v>240</v>
      </c>
      <c r="E273" s="33">
        <v>120</v>
      </c>
      <c r="F273" s="33">
        <v>6.2</v>
      </c>
      <c r="G273" s="33">
        <v>9.8000000000000007</v>
      </c>
      <c r="H273" s="50">
        <v>15</v>
      </c>
      <c r="I273" s="30">
        <v>3910</v>
      </c>
      <c r="J273" s="33">
        <v>220.4</v>
      </c>
      <c r="K273" s="33">
        <v>190.4</v>
      </c>
      <c r="L273" s="31">
        <v>38920000</v>
      </c>
      <c r="M273" s="31">
        <v>324300</v>
      </c>
      <c r="N273" s="31">
        <v>366600</v>
      </c>
      <c r="O273" s="30">
        <v>99.7</v>
      </c>
      <c r="P273" s="30">
        <v>1914</v>
      </c>
      <c r="Q273" s="31">
        <v>2836000</v>
      </c>
      <c r="R273" s="31">
        <v>47270</v>
      </c>
      <c r="S273" s="31">
        <v>73920</v>
      </c>
      <c r="T273" s="30">
        <v>26.9</v>
      </c>
      <c r="U273" s="33">
        <v>43.37</v>
      </c>
      <c r="V273" s="31">
        <v>128800.00000000001</v>
      </c>
      <c r="W273" s="31">
        <v>37390000000</v>
      </c>
    </row>
    <row r="274" spans="2:23" x14ac:dyDescent="0.25">
      <c r="B274" s="24" t="s">
        <v>498</v>
      </c>
      <c r="C274" s="32">
        <v>26.2</v>
      </c>
      <c r="D274" s="33">
        <v>237</v>
      </c>
      <c r="E274" s="33">
        <v>120</v>
      </c>
      <c r="F274" s="33">
        <v>5.2</v>
      </c>
      <c r="G274" s="33">
        <v>8.3000000000000007</v>
      </c>
      <c r="H274" s="50">
        <v>15</v>
      </c>
      <c r="I274" s="30">
        <v>3329.9999999999995</v>
      </c>
      <c r="J274" s="33">
        <v>220.4</v>
      </c>
      <c r="K274" s="33">
        <v>190.4</v>
      </c>
      <c r="L274" s="31">
        <v>32900000</v>
      </c>
      <c r="M274" s="31">
        <v>277700</v>
      </c>
      <c r="N274" s="31">
        <v>311600</v>
      </c>
      <c r="O274" s="30">
        <v>99.399999999999991</v>
      </c>
      <c r="P274" s="30">
        <v>1630.9999999999998</v>
      </c>
      <c r="Q274" s="31">
        <v>2401000</v>
      </c>
      <c r="R274" s="31">
        <v>40020</v>
      </c>
      <c r="S274" s="31">
        <v>62400</v>
      </c>
      <c r="T274" s="30">
        <v>26.8</v>
      </c>
      <c r="U274" s="33">
        <v>39.369999999999997</v>
      </c>
      <c r="V274" s="31">
        <v>83500</v>
      </c>
      <c r="W274" s="31">
        <v>31260000000</v>
      </c>
    </row>
    <row r="275" spans="2:23" x14ac:dyDescent="0.25">
      <c r="B275" s="24" t="s">
        <v>499</v>
      </c>
      <c r="C275" s="32">
        <v>24.9</v>
      </c>
      <c r="D275" s="33">
        <v>236.4</v>
      </c>
      <c r="E275" s="33">
        <v>120</v>
      </c>
      <c r="F275" s="33">
        <v>4.8</v>
      </c>
      <c r="G275" s="33">
        <v>8</v>
      </c>
      <c r="H275" s="50">
        <v>15</v>
      </c>
      <c r="I275" s="30">
        <v>3171</v>
      </c>
      <c r="J275" s="33">
        <v>220.4</v>
      </c>
      <c r="K275" s="33">
        <v>190.4</v>
      </c>
      <c r="L275" s="31">
        <v>31540000</v>
      </c>
      <c r="M275" s="31">
        <v>266800</v>
      </c>
      <c r="N275" s="31">
        <v>298200</v>
      </c>
      <c r="O275" s="30">
        <v>99.7</v>
      </c>
      <c r="P275" s="30">
        <v>1529</v>
      </c>
      <c r="Q275" s="31">
        <v>2314000</v>
      </c>
      <c r="R275" s="31">
        <v>38570</v>
      </c>
      <c r="S275" s="31">
        <v>59980</v>
      </c>
      <c r="T275" s="30">
        <v>27</v>
      </c>
      <c r="U275" s="33">
        <v>38.369999999999997</v>
      </c>
      <c r="V275" s="31">
        <v>73300</v>
      </c>
      <c r="W275" s="31">
        <v>30050000000</v>
      </c>
    </row>
    <row r="276" spans="2:23" x14ac:dyDescent="0.25">
      <c r="B276" s="24" t="s">
        <v>500</v>
      </c>
      <c r="C276" s="32">
        <v>34.299999999999997</v>
      </c>
      <c r="D276" s="33">
        <v>242</v>
      </c>
      <c r="E276" s="33">
        <v>122</v>
      </c>
      <c r="F276" s="33">
        <v>7</v>
      </c>
      <c r="G276" s="33">
        <v>10.8</v>
      </c>
      <c r="H276" s="50">
        <v>15</v>
      </c>
      <c r="I276" s="30">
        <v>4370</v>
      </c>
      <c r="J276" s="33">
        <v>220.4</v>
      </c>
      <c r="K276" s="33">
        <v>190.4</v>
      </c>
      <c r="L276" s="31">
        <v>43690000</v>
      </c>
      <c r="M276" s="31">
        <v>361100</v>
      </c>
      <c r="N276" s="31">
        <v>410300</v>
      </c>
      <c r="O276" s="30">
        <v>100</v>
      </c>
      <c r="P276" s="30">
        <v>2136</v>
      </c>
      <c r="Q276" s="31">
        <v>3285000</v>
      </c>
      <c r="R276" s="31">
        <v>53860</v>
      </c>
      <c r="S276" s="31">
        <v>84400</v>
      </c>
      <c r="T276" s="30">
        <v>27.400000000000002</v>
      </c>
      <c r="U276" s="33">
        <v>46.17</v>
      </c>
      <c r="V276" s="31">
        <v>171800</v>
      </c>
      <c r="W276" s="31">
        <v>43680000000</v>
      </c>
    </row>
    <row r="277" spans="2:23" x14ac:dyDescent="0.25">
      <c r="B277" s="24" t="s">
        <v>501</v>
      </c>
      <c r="C277" s="32">
        <v>36.1</v>
      </c>
      <c r="D277" s="33">
        <v>270</v>
      </c>
      <c r="E277" s="33">
        <v>135</v>
      </c>
      <c r="F277" s="33">
        <v>6.6</v>
      </c>
      <c r="G277" s="33">
        <v>10.199999999999999</v>
      </c>
      <c r="H277" s="50">
        <v>15</v>
      </c>
      <c r="I277" s="30">
        <v>4590</v>
      </c>
      <c r="J277" s="33">
        <v>249.6</v>
      </c>
      <c r="K277" s="33">
        <v>219.6</v>
      </c>
      <c r="L277" s="31">
        <v>57900000</v>
      </c>
      <c r="M277" s="31">
        <v>428900</v>
      </c>
      <c r="N277" s="31">
        <v>484000</v>
      </c>
      <c r="O277" s="30">
        <v>112.30000000000001</v>
      </c>
      <c r="P277" s="30">
        <v>2214</v>
      </c>
      <c r="Q277" s="31">
        <v>4199000</v>
      </c>
      <c r="R277" s="31">
        <v>62200</v>
      </c>
      <c r="S277" s="31">
        <v>96950</v>
      </c>
      <c r="T277" s="30">
        <v>30.2</v>
      </c>
      <c r="U277" s="33">
        <v>44.57</v>
      </c>
      <c r="V277" s="31">
        <v>159400</v>
      </c>
      <c r="W277" s="31">
        <v>70580000000</v>
      </c>
    </row>
    <row r="278" spans="2:23" x14ac:dyDescent="0.25">
      <c r="B278" s="24" t="s">
        <v>502</v>
      </c>
      <c r="C278" s="32">
        <v>30.7</v>
      </c>
      <c r="D278" s="33">
        <v>267</v>
      </c>
      <c r="E278" s="33">
        <v>135</v>
      </c>
      <c r="F278" s="33">
        <v>5.5</v>
      </c>
      <c r="G278" s="33">
        <v>8.6999999999999993</v>
      </c>
      <c r="H278" s="50">
        <v>15</v>
      </c>
      <c r="I278" s="30">
        <v>3920.0000000000005</v>
      </c>
      <c r="J278" s="33">
        <v>249.6</v>
      </c>
      <c r="K278" s="33">
        <v>219.6</v>
      </c>
      <c r="L278" s="31">
        <v>49170000</v>
      </c>
      <c r="M278" s="31">
        <v>368300</v>
      </c>
      <c r="N278" s="31">
        <v>412500</v>
      </c>
      <c r="O278" s="30">
        <v>112.10000000000001</v>
      </c>
      <c r="P278" s="30">
        <v>1875</v>
      </c>
      <c r="Q278" s="31">
        <v>3580000</v>
      </c>
      <c r="R278" s="31">
        <v>53030</v>
      </c>
      <c r="S278" s="31">
        <v>82340</v>
      </c>
      <c r="T278" s="30">
        <v>30.2</v>
      </c>
      <c r="U278" s="33">
        <v>40.47</v>
      </c>
      <c r="V278" s="31">
        <v>103000</v>
      </c>
      <c r="W278" s="31">
        <v>59510000000</v>
      </c>
    </row>
    <row r="279" spans="2:23" x14ac:dyDescent="0.25">
      <c r="B279" s="24" t="s">
        <v>503</v>
      </c>
      <c r="C279" s="32">
        <v>42.3</v>
      </c>
      <c r="D279" s="33">
        <v>274</v>
      </c>
      <c r="E279" s="33">
        <v>136</v>
      </c>
      <c r="F279" s="33">
        <v>7.5</v>
      </c>
      <c r="G279" s="33">
        <v>12.2</v>
      </c>
      <c r="H279" s="50">
        <v>15</v>
      </c>
      <c r="I279" s="30">
        <v>5380</v>
      </c>
      <c r="J279" s="33">
        <v>249.6</v>
      </c>
      <c r="K279" s="33">
        <v>219.6</v>
      </c>
      <c r="L279" s="31">
        <v>69470000</v>
      </c>
      <c r="M279" s="31">
        <v>507100</v>
      </c>
      <c r="N279" s="31">
        <v>574600</v>
      </c>
      <c r="O279" s="30">
        <v>113.6</v>
      </c>
      <c r="P279" s="30">
        <v>2523</v>
      </c>
      <c r="Q279" s="31">
        <v>5135000</v>
      </c>
      <c r="R279" s="31">
        <v>75510</v>
      </c>
      <c r="S279" s="31">
        <v>117700</v>
      </c>
      <c r="T279" s="30">
        <v>30.9</v>
      </c>
      <c r="U279" s="33">
        <v>49.47</v>
      </c>
      <c r="V279" s="31">
        <v>249000</v>
      </c>
      <c r="W279" s="31">
        <v>87640000000</v>
      </c>
    </row>
    <row r="280" spans="2:23" x14ac:dyDescent="0.25">
      <c r="B280" s="24" t="s">
        <v>504</v>
      </c>
      <c r="C280" s="32">
        <v>42.2</v>
      </c>
      <c r="D280" s="33">
        <v>300</v>
      </c>
      <c r="E280" s="33">
        <v>150</v>
      </c>
      <c r="F280" s="33">
        <v>7.1</v>
      </c>
      <c r="G280" s="33">
        <v>10.7</v>
      </c>
      <c r="H280" s="50">
        <v>15</v>
      </c>
      <c r="I280" s="30">
        <v>5380</v>
      </c>
      <c r="J280" s="33">
        <v>278.60000000000002</v>
      </c>
      <c r="K280" s="33">
        <v>248.6</v>
      </c>
      <c r="L280" s="31">
        <v>83560000</v>
      </c>
      <c r="M280" s="31">
        <v>557100</v>
      </c>
      <c r="N280" s="31">
        <v>628400</v>
      </c>
      <c r="O280" s="30">
        <v>124.60000000000001</v>
      </c>
      <c r="P280" s="30">
        <v>2568</v>
      </c>
      <c r="Q280" s="31">
        <v>6038000</v>
      </c>
      <c r="R280" s="31">
        <v>80500</v>
      </c>
      <c r="S280" s="31">
        <v>125200</v>
      </c>
      <c r="T280" s="30">
        <v>33.5</v>
      </c>
      <c r="U280" s="33">
        <v>46.07</v>
      </c>
      <c r="V280" s="31">
        <v>201200</v>
      </c>
      <c r="W280" s="31">
        <v>125900000000</v>
      </c>
    </row>
    <row r="281" spans="2:23" x14ac:dyDescent="0.25">
      <c r="B281" s="24" t="s">
        <v>505</v>
      </c>
      <c r="C281" s="32">
        <v>36.5</v>
      </c>
      <c r="D281" s="33">
        <v>297</v>
      </c>
      <c r="E281" s="33">
        <v>150</v>
      </c>
      <c r="F281" s="33">
        <v>6.1</v>
      </c>
      <c r="G281" s="33">
        <v>9.1999999999999993</v>
      </c>
      <c r="H281" s="50">
        <v>15</v>
      </c>
      <c r="I281" s="30">
        <v>4650</v>
      </c>
      <c r="J281" s="33">
        <v>278.60000000000002</v>
      </c>
      <c r="K281" s="33">
        <v>248.6</v>
      </c>
      <c r="L281" s="31">
        <v>71730000</v>
      </c>
      <c r="M281" s="31">
        <v>483100</v>
      </c>
      <c r="N281" s="31">
        <v>541800</v>
      </c>
      <c r="O281" s="30">
        <v>124.2</v>
      </c>
      <c r="P281" s="30">
        <v>2225</v>
      </c>
      <c r="Q281" s="31">
        <v>5190000</v>
      </c>
      <c r="R281" s="31">
        <v>69200</v>
      </c>
      <c r="S281" s="31">
        <v>107300</v>
      </c>
      <c r="T281" s="30">
        <v>33.4</v>
      </c>
      <c r="U281" s="33">
        <v>42.07</v>
      </c>
      <c r="V281" s="31">
        <v>134300</v>
      </c>
      <c r="W281" s="31">
        <v>107200000000</v>
      </c>
    </row>
    <row r="282" spans="2:23" x14ac:dyDescent="0.25">
      <c r="B282" s="24" t="s">
        <v>506</v>
      </c>
      <c r="C282" s="32">
        <v>49.3</v>
      </c>
      <c r="D282" s="33">
        <v>304</v>
      </c>
      <c r="E282" s="33">
        <v>152</v>
      </c>
      <c r="F282" s="33">
        <v>8</v>
      </c>
      <c r="G282" s="33">
        <v>12.7</v>
      </c>
      <c r="H282" s="50">
        <v>15</v>
      </c>
      <c r="I282" s="30">
        <v>6280</v>
      </c>
      <c r="J282" s="33">
        <v>278.60000000000002</v>
      </c>
      <c r="K282" s="33">
        <v>248.6</v>
      </c>
      <c r="L282" s="31">
        <v>99940000</v>
      </c>
      <c r="M282" s="31">
        <v>657500</v>
      </c>
      <c r="N282" s="31">
        <v>743800</v>
      </c>
      <c r="O282" s="30">
        <v>126.1</v>
      </c>
      <c r="P282" s="30">
        <v>2905</v>
      </c>
      <c r="Q282" s="31">
        <v>7457000</v>
      </c>
      <c r="R282" s="31">
        <v>98120</v>
      </c>
      <c r="S282" s="31">
        <v>152600</v>
      </c>
      <c r="T282" s="30">
        <v>34.5</v>
      </c>
      <c r="U282" s="33">
        <v>50.97</v>
      </c>
      <c r="V282" s="31">
        <v>310600</v>
      </c>
      <c r="W282" s="31">
        <v>157700000000</v>
      </c>
    </row>
    <row r="283" spans="2:23" x14ac:dyDescent="0.25">
      <c r="B283" s="24" t="s">
        <v>507</v>
      </c>
      <c r="C283" s="32">
        <v>49.1</v>
      </c>
      <c r="D283" s="33">
        <v>330</v>
      </c>
      <c r="E283" s="33">
        <v>160</v>
      </c>
      <c r="F283" s="33">
        <v>7.5</v>
      </c>
      <c r="G283" s="33">
        <v>11.5</v>
      </c>
      <c r="H283" s="50">
        <v>18</v>
      </c>
      <c r="I283" s="30">
        <v>6260</v>
      </c>
      <c r="J283" s="33">
        <v>307</v>
      </c>
      <c r="K283" s="33">
        <v>271</v>
      </c>
      <c r="L283" s="31">
        <v>117700000</v>
      </c>
      <c r="M283" s="31">
        <v>713100</v>
      </c>
      <c r="N283" s="31">
        <v>804300</v>
      </c>
      <c r="O283" s="30">
        <v>137.10000000000002</v>
      </c>
      <c r="P283" s="30">
        <v>3081</v>
      </c>
      <c r="Q283" s="31">
        <v>7881000</v>
      </c>
      <c r="R283" s="31">
        <v>98520</v>
      </c>
      <c r="S283" s="31">
        <v>153700</v>
      </c>
      <c r="T283" s="30">
        <v>35.5</v>
      </c>
      <c r="U283" s="33">
        <v>51.59</v>
      </c>
      <c r="V283" s="31">
        <v>281500</v>
      </c>
      <c r="W283" s="31">
        <v>199100000000</v>
      </c>
    </row>
    <row r="284" spans="2:23" x14ac:dyDescent="0.25">
      <c r="B284" s="24" t="s">
        <v>508</v>
      </c>
      <c r="C284" s="32">
        <v>43</v>
      </c>
      <c r="D284" s="33">
        <v>327</v>
      </c>
      <c r="E284" s="33">
        <v>160</v>
      </c>
      <c r="F284" s="33">
        <v>6.5</v>
      </c>
      <c r="G284" s="33">
        <v>10</v>
      </c>
      <c r="H284" s="50">
        <v>18</v>
      </c>
      <c r="I284" s="30">
        <v>5470</v>
      </c>
      <c r="J284" s="33">
        <v>307</v>
      </c>
      <c r="K284" s="33">
        <v>271</v>
      </c>
      <c r="L284" s="31">
        <v>102300000</v>
      </c>
      <c r="M284" s="31">
        <v>625700</v>
      </c>
      <c r="N284" s="31">
        <v>701900</v>
      </c>
      <c r="O284" s="30">
        <v>136.69999999999999</v>
      </c>
      <c r="P284" s="30">
        <v>2699</v>
      </c>
      <c r="Q284" s="31">
        <v>6852000</v>
      </c>
      <c r="R284" s="31">
        <v>85640</v>
      </c>
      <c r="S284" s="31">
        <v>133300</v>
      </c>
      <c r="T284" s="30">
        <v>35.4</v>
      </c>
      <c r="U284" s="33">
        <v>47.59</v>
      </c>
      <c r="V284" s="31">
        <v>195700</v>
      </c>
      <c r="W284" s="31">
        <v>171500000000</v>
      </c>
    </row>
    <row r="285" spans="2:23" x14ac:dyDescent="0.25">
      <c r="B285" s="24" t="s">
        <v>509</v>
      </c>
      <c r="C285" s="32">
        <v>57</v>
      </c>
      <c r="D285" s="33">
        <v>334</v>
      </c>
      <c r="E285" s="33">
        <v>162</v>
      </c>
      <c r="F285" s="33">
        <v>8.5</v>
      </c>
      <c r="G285" s="33">
        <v>13.5</v>
      </c>
      <c r="H285" s="50">
        <v>18</v>
      </c>
      <c r="I285" s="30">
        <v>7259.9999999999991</v>
      </c>
      <c r="J285" s="33">
        <v>307</v>
      </c>
      <c r="K285" s="33">
        <v>271</v>
      </c>
      <c r="L285" s="31">
        <v>139100000</v>
      </c>
      <c r="M285" s="31">
        <v>833000</v>
      </c>
      <c r="N285" s="31">
        <v>942800</v>
      </c>
      <c r="O285" s="30">
        <v>138.4</v>
      </c>
      <c r="P285" s="30">
        <v>3488.0000000000005</v>
      </c>
      <c r="Q285" s="31">
        <v>9604000</v>
      </c>
      <c r="R285" s="31">
        <v>118600</v>
      </c>
      <c r="S285" s="31">
        <v>185000</v>
      </c>
      <c r="T285" s="30">
        <v>36.4</v>
      </c>
      <c r="U285" s="33">
        <v>56.59</v>
      </c>
      <c r="V285" s="31">
        <v>421500</v>
      </c>
      <c r="W285" s="31">
        <v>245700000000</v>
      </c>
    </row>
    <row r="286" spans="2:23" x14ac:dyDescent="0.25">
      <c r="B286" s="24" t="s">
        <v>510</v>
      </c>
      <c r="C286" s="32">
        <v>57.1</v>
      </c>
      <c r="D286" s="33">
        <v>360</v>
      </c>
      <c r="E286" s="33">
        <v>170</v>
      </c>
      <c r="F286" s="33">
        <v>8</v>
      </c>
      <c r="G286" s="33">
        <v>12.7</v>
      </c>
      <c r="H286" s="50">
        <v>18</v>
      </c>
      <c r="I286" s="30">
        <v>7270</v>
      </c>
      <c r="J286" s="33">
        <v>334.6</v>
      </c>
      <c r="K286" s="33">
        <v>298.60000000000002</v>
      </c>
      <c r="L286" s="31">
        <v>162700000</v>
      </c>
      <c r="M286" s="31">
        <v>903600</v>
      </c>
      <c r="N286" s="31">
        <v>1019000</v>
      </c>
      <c r="O286" s="30">
        <v>149.5</v>
      </c>
      <c r="P286" s="30">
        <v>3514</v>
      </c>
      <c r="Q286" s="31">
        <v>10430000</v>
      </c>
      <c r="R286" s="31">
        <v>122800</v>
      </c>
      <c r="S286" s="31">
        <v>191100</v>
      </c>
      <c r="T286" s="30">
        <v>37.9</v>
      </c>
      <c r="U286" s="33">
        <v>54.49</v>
      </c>
      <c r="V286" s="31">
        <v>373200</v>
      </c>
      <c r="W286" s="31">
        <v>313600000000</v>
      </c>
    </row>
    <row r="287" spans="2:23" x14ac:dyDescent="0.25">
      <c r="B287" s="24" t="s">
        <v>511</v>
      </c>
      <c r="C287" s="32">
        <v>50.2</v>
      </c>
      <c r="D287" s="33">
        <v>357.6</v>
      </c>
      <c r="E287" s="33">
        <v>170</v>
      </c>
      <c r="F287" s="33">
        <v>6.6</v>
      </c>
      <c r="G287" s="33">
        <v>11.5</v>
      </c>
      <c r="H287" s="50">
        <v>18</v>
      </c>
      <c r="I287" s="30">
        <v>6400</v>
      </c>
      <c r="J287" s="33">
        <v>334.6</v>
      </c>
      <c r="K287" s="33">
        <v>298.60000000000002</v>
      </c>
      <c r="L287" s="31">
        <v>145200000</v>
      </c>
      <c r="M287" s="31">
        <v>811800</v>
      </c>
      <c r="N287" s="31">
        <v>906800</v>
      </c>
      <c r="O287" s="30">
        <v>150.6</v>
      </c>
      <c r="P287" s="30">
        <v>2976</v>
      </c>
      <c r="Q287" s="31">
        <v>9443000</v>
      </c>
      <c r="R287" s="31">
        <v>111100</v>
      </c>
      <c r="S287" s="31">
        <v>171900</v>
      </c>
      <c r="T287" s="30">
        <v>38.4</v>
      </c>
      <c r="U287" s="33">
        <v>50.69</v>
      </c>
      <c r="V287" s="31">
        <v>265100</v>
      </c>
      <c r="W287" s="31">
        <v>282000000000</v>
      </c>
    </row>
    <row r="288" spans="2:23" x14ac:dyDescent="0.25">
      <c r="B288" s="24" t="s">
        <v>512</v>
      </c>
      <c r="C288" s="32">
        <v>66</v>
      </c>
      <c r="D288" s="33">
        <v>364</v>
      </c>
      <c r="E288" s="33">
        <v>172</v>
      </c>
      <c r="F288" s="33">
        <v>9.1999999999999993</v>
      </c>
      <c r="G288" s="33">
        <v>14.7</v>
      </c>
      <c r="H288" s="50">
        <v>18</v>
      </c>
      <c r="I288" s="30">
        <v>8410</v>
      </c>
      <c r="J288" s="33">
        <v>334.6</v>
      </c>
      <c r="K288" s="33">
        <v>298.60000000000002</v>
      </c>
      <c r="L288" s="31">
        <v>190500000</v>
      </c>
      <c r="M288" s="31">
        <v>1047000</v>
      </c>
      <c r="N288" s="31">
        <v>1186000</v>
      </c>
      <c r="O288" s="30">
        <v>150.5</v>
      </c>
      <c r="P288" s="30">
        <v>4021</v>
      </c>
      <c r="Q288" s="31">
        <v>12510000</v>
      </c>
      <c r="R288" s="31">
        <v>145500</v>
      </c>
      <c r="S288" s="31">
        <v>226900</v>
      </c>
      <c r="T288" s="30">
        <v>38.6</v>
      </c>
      <c r="U288" s="33">
        <v>59.69</v>
      </c>
      <c r="V288" s="31">
        <v>557600</v>
      </c>
      <c r="W288" s="31">
        <v>380300000000</v>
      </c>
    </row>
    <row r="289" spans="2:23" x14ac:dyDescent="0.25">
      <c r="B289" s="24" t="s">
        <v>513</v>
      </c>
      <c r="C289" s="32">
        <v>66.3</v>
      </c>
      <c r="D289" s="33">
        <v>400</v>
      </c>
      <c r="E289" s="33">
        <v>180</v>
      </c>
      <c r="F289" s="33">
        <v>8.6</v>
      </c>
      <c r="G289" s="33">
        <v>13.5</v>
      </c>
      <c r="H289" s="50">
        <v>21</v>
      </c>
      <c r="I289" s="30">
        <v>8450</v>
      </c>
      <c r="J289" s="33">
        <v>373</v>
      </c>
      <c r="K289" s="33">
        <v>331</v>
      </c>
      <c r="L289" s="31">
        <v>231300000</v>
      </c>
      <c r="M289" s="31">
        <v>1160000</v>
      </c>
      <c r="N289" s="31">
        <v>1307000</v>
      </c>
      <c r="O289" s="30">
        <v>165.5</v>
      </c>
      <c r="P289" s="30">
        <v>4269</v>
      </c>
      <c r="Q289" s="31">
        <v>13180000</v>
      </c>
      <c r="R289" s="31">
        <v>146400</v>
      </c>
      <c r="S289" s="31">
        <v>229000</v>
      </c>
      <c r="T289" s="30">
        <v>39.5</v>
      </c>
      <c r="U289" s="28">
        <v>60.2</v>
      </c>
      <c r="V289" s="31">
        <v>510800</v>
      </c>
      <c r="W289" s="31">
        <v>490000000000</v>
      </c>
    </row>
    <row r="290" spans="2:23" x14ac:dyDescent="0.25">
      <c r="B290" s="24" t="s">
        <v>514</v>
      </c>
      <c r="C290" s="32">
        <v>57.4</v>
      </c>
      <c r="D290" s="33">
        <v>397</v>
      </c>
      <c r="E290" s="33">
        <v>180</v>
      </c>
      <c r="F290" s="33">
        <v>7</v>
      </c>
      <c r="G290" s="33">
        <v>12</v>
      </c>
      <c r="H290" s="50">
        <v>21</v>
      </c>
      <c r="I290" s="30">
        <v>7309.9999999999991</v>
      </c>
      <c r="J290" s="33">
        <v>373</v>
      </c>
      <c r="K290" s="33">
        <v>331</v>
      </c>
      <c r="L290" s="31">
        <v>202900000</v>
      </c>
      <c r="M290" s="31">
        <v>1022000</v>
      </c>
      <c r="N290" s="31">
        <v>1144000</v>
      </c>
      <c r="O290" s="30">
        <v>166.6</v>
      </c>
      <c r="P290" s="30">
        <v>3578</v>
      </c>
      <c r="Q290" s="31">
        <v>11710000</v>
      </c>
      <c r="R290" s="31">
        <v>130100</v>
      </c>
      <c r="S290" s="31">
        <v>202100</v>
      </c>
      <c r="T290" s="30">
        <v>40</v>
      </c>
      <c r="U290" s="33">
        <v>55.6</v>
      </c>
      <c r="V290" s="31">
        <v>347900</v>
      </c>
      <c r="W290" s="31">
        <v>432200000000</v>
      </c>
    </row>
    <row r="291" spans="2:23" x14ac:dyDescent="0.25">
      <c r="B291" s="24" t="s">
        <v>515</v>
      </c>
      <c r="C291" s="32">
        <v>75.7</v>
      </c>
      <c r="D291" s="33">
        <v>404</v>
      </c>
      <c r="E291" s="33">
        <v>182</v>
      </c>
      <c r="F291" s="33">
        <v>9.6999999999999993</v>
      </c>
      <c r="G291" s="33">
        <v>15.5</v>
      </c>
      <c r="H291" s="50">
        <v>21</v>
      </c>
      <c r="I291" s="30">
        <v>9640</v>
      </c>
      <c r="J291" s="33">
        <v>373</v>
      </c>
      <c r="K291" s="33">
        <v>331</v>
      </c>
      <c r="L291" s="31">
        <v>267500000</v>
      </c>
      <c r="M291" s="31">
        <v>1324000</v>
      </c>
      <c r="N291" s="31">
        <v>1502000</v>
      </c>
      <c r="O291" s="30">
        <v>166.6</v>
      </c>
      <c r="P291" s="30">
        <v>4798</v>
      </c>
      <c r="Q291" s="31">
        <v>15640000</v>
      </c>
      <c r="R291" s="31">
        <v>171900</v>
      </c>
      <c r="S291" s="31">
        <v>269100</v>
      </c>
      <c r="T291" s="30">
        <v>40.300000000000004</v>
      </c>
      <c r="U291" s="33">
        <v>65.3</v>
      </c>
      <c r="V291" s="31">
        <v>731000</v>
      </c>
      <c r="W291" s="31">
        <v>587600000000</v>
      </c>
    </row>
    <row r="292" spans="2:23" x14ac:dyDescent="0.25">
      <c r="B292" s="24" t="s">
        <v>516</v>
      </c>
      <c r="C292" s="32">
        <v>77.599999999999994</v>
      </c>
      <c r="D292" s="33">
        <v>450</v>
      </c>
      <c r="E292" s="33">
        <v>190</v>
      </c>
      <c r="F292" s="33">
        <v>9.4</v>
      </c>
      <c r="G292" s="33">
        <v>14.6</v>
      </c>
      <c r="H292" s="50">
        <v>21</v>
      </c>
      <c r="I292" s="30">
        <v>9880</v>
      </c>
      <c r="J292" s="33">
        <v>420.8</v>
      </c>
      <c r="K292" s="33">
        <v>378.8</v>
      </c>
      <c r="L292" s="31">
        <v>337400000</v>
      </c>
      <c r="M292" s="31">
        <v>1500000</v>
      </c>
      <c r="N292" s="31">
        <v>1702000</v>
      </c>
      <c r="O292" s="30">
        <v>184.8</v>
      </c>
      <c r="P292" s="30">
        <v>5085</v>
      </c>
      <c r="Q292" s="31">
        <v>16760000</v>
      </c>
      <c r="R292" s="31">
        <v>176400</v>
      </c>
      <c r="S292" s="31">
        <v>276400</v>
      </c>
      <c r="T292" s="30">
        <v>41.2</v>
      </c>
      <c r="U292" s="33">
        <v>63.2</v>
      </c>
      <c r="V292" s="31">
        <v>668700</v>
      </c>
      <c r="W292" s="31">
        <v>791000000000</v>
      </c>
    </row>
    <row r="293" spans="2:23" x14ac:dyDescent="0.25">
      <c r="B293" s="24" t="s">
        <v>517</v>
      </c>
      <c r="C293" s="32">
        <v>67.2</v>
      </c>
      <c r="D293" s="33">
        <v>447</v>
      </c>
      <c r="E293" s="33">
        <v>190</v>
      </c>
      <c r="F293" s="33">
        <v>7.6</v>
      </c>
      <c r="G293" s="33">
        <v>13.1</v>
      </c>
      <c r="H293" s="50">
        <v>21</v>
      </c>
      <c r="I293" s="30">
        <v>8560</v>
      </c>
      <c r="J293" s="33">
        <v>420.8</v>
      </c>
      <c r="K293" s="33">
        <v>378.8</v>
      </c>
      <c r="L293" s="31">
        <v>297600000</v>
      </c>
      <c r="M293" s="31">
        <v>1331000</v>
      </c>
      <c r="N293" s="31">
        <v>1494000</v>
      </c>
      <c r="O293" s="30">
        <v>186.5</v>
      </c>
      <c r="P293" s="30">
        <v>4226</v>
      </c>
      <c r="Q293" s="31">
        <v>15020000</v>
      </c>
      <c r="R293" s="31">
        <v>158100</v>
      </c>
      <c r="S293" s="31">
        <v>245700</v>
      </c>
      <c r="T293" s="30">
        <v>41.900000000000006</v>
      </c>
      <c r="U293" s="33">
        <v>58.4</v>
      </c>
      <c r="V293" s="31">
        <v>456700</v>
      </c>
      <c r="W293" s="31">
        <v>704900000000</v>
      </c>
    </row>
    <row r="294" spans="2:23" x14ac:dyDescent="0.25">
      <c r="B294" s="24" t="s">
        <v>518</v>
      </c>
      <c r="C294" s="32">
        <v>92.4</v>
      </c>
      <c r="D294" s="33">
        <v>456</v>
      </c>
      <c r="E294" s="33">
        <v>192</v>
      </c>
      <c r="F294" s="33">
        <v>11</v>
      </c>
      <c r="G294" s="33">
        <v>17.600000000000001</v>
      </c>
      <c r="H294" s="50">
        <v>21</v>
      </c>
      <c r="I294" s="30">
        <v>11800</v>
      </c>
      <c r="J294" s="33">
        <v>420.8</v>
      </c>
      <c r="K294" s="33">
        <v>378.8</v>
      </c>
      <c r="L294" s="31">
        <v>409200000</v>
      </c>
      <c r="M294" s="31">
        <v>1795000</v>
      </c>
      <c r="N294" s="31">
        <v>2046000</v>
      </c>
      <c r="O294" s="30">
        <v>186.5</v>
      </c>
      <c r="P294" s="30">
        <v>5940</v>
      </c>
      <c r="Q294" s="31">
        <v>20850000</v>
      </c>
      <c r="R294" s="31">
        <v>217200</v>
      </c>
      <c r="S294" s="31">
        <v>341000</v>
      </c>
      <c r="T294" s="30">
        <v>42.1</v>
      </c>
      <c r="U294" s="33">
        <v>70.8</v>
      </c>
      <c r="V294" s="31">
        <v>1090000</v>
      </c>
      <c r="W294" s="31">
        <v>997600000000</v>
      </c>
    </row>
    <row r="295" spans="2:23" x14ac:dyDescent="0.25">
      <c r="B295" s="24" t="s">
        <v>519</v>
      </c>
      <c r="C295" s="32">
        <v>90.7</v>
      </c>
      <c r="D295" s="33">
        <v>500</v>
      </c>
      <c r="E295" s="33">
        <v>200</v>
      </c>
      <c r="F295" s="33">
        <v>10.199999999999999</v>
      </c>
      <c r="G295" s="33">
        <v>16</v>
      </c>
      <c r="H295" s="50">
        <v>21</v>
      </c>
      <c r="I295" s="30">
        <v>11600</v>
      </c>
      <c r="J295" s="33">
        <v>468</v>
      </c>
      <c r="K295" s="33">
        <v>426</v>
      </c>
      <c r="L295" s="31">
        <v>482000000</v>
      </c>
      <c r="M295" s="31">
        <v>1930000</v>
      </c>
      <c r="N295" s="31">
        <v>2194000</v>
      </c>
      <c r="O295" s="30">
        <v>204.3</v>
      </c>
      <c r="P295" s="30">
        <v>5987</v>
      </c>
      <c r="Q295" s="31">
        <v>21420000</v>
      </c>
      <c r="R295" s="31">
        <v>214200</v>
      </c>
      <c r="S295" s="31">
        <v>335900</v>
      </c>
      <c r="T295" s="30">
        <v>43.099999999999994</v>
      </c>
      <c r="U295" s="33">
        <v>66.8</v>
      </c>
      <c r="V295" s="31">
        <v>892900.00000000012</v>
      </c>
      <c r="W295" s="31">
        <v>1249000000000</v>
      </c>
    </row>
    <row r="296" spans="2:23" x14ac:dyDescent="0.25">
      <c r="B296" s="24" t="s">
        <v>520</v>
      </c>
      <c r="C296" s="32">
        <v>79.400000000000006</v>
      </c>
      <c r="D296" s="33">
        <v>497</v>
      </c>
      <c r="E296" s="33">
        <v>200</v>
      </c>
      <c r="F296" s="33">
        <v>8.4</v>
      </c>
      <c r="G296" s="33">
        <v>14.5</v>
      </c>
      <c r="H296" s="50">
        <v>21</v>
      </c>
      <c r="I296" s="30">
        <v>10100</v>
      </c>
      <c r="J296" s="33">
        <v>468</v>
      </c>
      <c r="K296" s="33">
        <v>426</v>
      </c>
      <c r="L296" s="31">
        <v>429300000</v>
      </c>
      <c r="M296" s="31">
        <v>1728000</v>
      </c>
      <c r="N296" s="31">
        <v>1946000</v>
      </c>
      <c r="O296" s="30">
        <v>206.1</v>
      </c>
      <c r="P296" s="30">
        <v>5041</v>
      </c>
      <c r="Q296" s="31">
        <v>19390000</v>
      </c>
      <c r="R296" s="31">
        <v>193900</v>
      </c>
      <c r="S296" s="31">
        <v>301600</v>
      </c>
      <c r="T296" s="30">
        <v>43.8</v>
      </c>
      <c r="U296" s="33">
        <v>62</v>
      </c>
      <c r="V296" s="31">
        <v>627800</v>
      </c>
      <c r="W296" s="31">
        <v>1125000000000</v>
      </c>
    </row>
    <row r="297" spans="2:23" x14ac:dyDescent="0.25">
      <c r="B297" s="24" t="s">
        <v>521</v>
      </c>
      <c r="C297" s="32">
        <v>107</v>
      </c>
      <c r="D297" s="33">
        <v>506</v>
      </c>
      <c r="E297" s="33">
        <v>202</v>
      </c>
      <c r="F297" s="33">
        <v>12</v>
      </c>
      <c r="G297" s="33">
        <v>19</v>
      </c>
      <c r="H297" s="50">
        <v>21</v>
      </c>
      <c r="I297" s="30">
        <v>13700</v>
      </c>
      <c r="J297" s="33">
        <v>468</v>
      </c>
      <c r="K297" s="33">
        <v>426</v>
      </c>
      <c r="L297" s="31">
        <v>577800000</v>
      </c>
      <c r="M297" s="31">
        <v>2284000</v>
      </c>
      <c r="N297" s="31">
        <v>2613000</v>
      </c>
      <c r="O297" s="30">
        <v>205.6</v>
      </c>
      <c r="P297" s="30">
        <v>7020.9999999999991</v>
      </c>
      <c r="Q297" s="31">
        <v>26220000</v>
      </c>
      <c r="R297" s="31">
        <v>259600</v>
      </c>
      <c r="S297" s="31">
        <v>408500</v>
      </c>
      <c r="T297" s="30">
        <v>43.8</v>
      </c>
      <c r="U297" s="33">
        <v>74.599999999999994</v>
      </c>
      <c r="V297" s="31">
        <v>1435000</v>
      </c>
      <c r="W297" s="31">
        <v>1548000000000</v>
      </c>
    </row>
    <row r="298" spans="2:23" x14ac:dyDescent="0.25">
      <c r="B298" s="24" t="s">
        <v>522</v>
      </c>
      <c r="C298" s="65">
        <v>106</v>
      </c>
      <c r="D298" s="33">
        <v>550</v>
      </c>
      <c r="E298" s="33">
        <v>210</v>
      </c>
      <c r="F298" s="33">
        <v>11.1</v>
      </c>
      <c r="G298" s="33">
        <v>17.2</v>
      </c>
      <c r="H298" s="50">
        <v>24</v>
      </c>
      <c r="I298" s="30">
        <v>13400</v>
      </c>
      <c r="J298" s="66">
        <v>515.6</v>
      </c>
      <c r="K298" s="33">
        <v>467.6</v>
      </c>
      <c r="L298" s="31">
        <v>671200000</v>
      </c>
      <c r="M298" s="31">
        <v>2440000</v>
      </c>
      <c r="N298" s="31">
        <v>2787000</v>
      </c>
      <c r="O298" s="30">
        <v>223.5</v>
      </c>
      <c r="P298" s="30">
        <v>7234</v>
      </c>
      <c r="Q298" s="31">
        <v>26680000</v>
      </c>
      <c r="R298" s="31">
        <v>254100</v>
      </c>
      <c r="S298" s="31">
        <v>400500</v>
      </c>
      <c r="T298" s="30">
        <v>44.5</v>
      </c>
      <c r="U298" s="28">
        <v>73.62</v>
      </c>
      <c r="V298" s="31">
        <v>1232000</v>
      </c>
      <c r="W298" s="31">
        <v>1884000000000</v>
      </c>
    </row>
    <row r="299" spans="2:23" x14ac:dyDescent="0.25">
      <c r="B299" s="24" t="s">
        <v>523</v>
      </c>
      <c r="C299" s="32">
        <v>92.1</v>
      </c>
      <c r="D299" s="33">
        <v>547</v>
      </c>
      <c r="E299" s="33">
        <v>210</v>
      </c>
      <c r="F299" s="33">
        <v>9</v>
      </c>
      <c r="G299" s="33">
        <v>15.7</v>
      </c>
      <c r="H299" s="50">
        <v>24</v>
      </c>
      <c r="I299" s="30">
        <v>11700</v>
      </c>
      <c r="J299" s="33">
        <v>515.6</v>
      </c>
      <c r="K299" s="33">
        <v>467.6</v>
      </c>
      <c r="L299" s="31">
        <v>599800000</v>
      </c>
      <c r="M299" s="31">
        <v>2193000</v>
      </c>
      <c r="N299" s="31">
        <v>2475000</v>
      </c>
      <c r="O299" s="30">
        <v>226.1</v>
      </c>
      <c r="P299" s="30">
        <v>6030</v>
      </c>
      <c r="Q299" s="31">
        <v>24320000</v>
      </c>
      <c r="R299" s="31">
        <v>231600</v>
      </c>
      <c r="S299" s="31">
        <v>361500</v>
      </c>
      <c r="T299" s="30">
        <v>45.5</v>
      </c>
      <c r="U299" s="33">
        <v>68.52</v>
      </c>
      <c r="V299" s="31">
        <v>865300</v>
      </c>
      <c r="W299" s="31">
        <v>1710000000000</v>
      </c>
    </row>
    <row r="300" spans="2:23" x14ac:dyDescent="0.25">
      <c r="B300" s="24" t="s">
        <v>524</v>
      </c>
      <c r="C300" s="32">
        <v>123</v>
      </c>
      <c r="D300" s="33">
        <v>556</v>
      </c>
      <c r="E300" s="33">
        <v>212</v>
      </c>
      <c r="F300" s="33">
        <v>12.7</v>
      </c>
      <c r="G300" s="33">
        <v>20.2</v>
      </c>
      <c r="H300" s="50">
        <v>24</v>
      </c>
      <c r="I300" s="30">
        <v>15600</v>
      </c>
      <c r="J300" s="33">
        <v>515.6</v>
      </c>
      <c r="K300" s="33">
        <v>467.6</v>
      </c>
      <c r="L300" s="31">
        <v>791600000</v>
      </c>
      <c r="M300" s="31">
        <v>2847000</v>
      </c>
      <c r="N300" s="31">
        <v>3263000</v>
      </c>
      <c r="O300" s="30">
        <v>225.2</v>
      </c>
      <c r="P300" s="30">
        <v>8269</v>
      </c>
      <c r="Q300" s="31">
        <v>32240000</v>
      </c>
      <c r="R300" s="31">
        <v>304200</v>
      </c>
      <c r="S300" s="31">
        <v>480500</v>
      </c>
      <c r="T300" s="30">
        <v>45.5</v>
      </c>
      <c r="U300" s="33">
        <v>81.22</v>
      </c>
      <c r="V300" s="31">
        <v>1875000</v>
      </c>
      <c r="W300" s="31">
        <v>2302000000000</v>
      </c>
    </row>
    <row r="301" spans="2:23" x14ac:dyDescent="0.25">
      <c r="B301" s="24" t="s">
        <v>525</v>
      </c>
      <c r="C301" s="65">
        <v>122</v>
      </c>
      <c r="D301" s="33">
        <v>600</v>
      </c>
      <c r="E301" s="33">
        <v>220</v>
      </c>
      <c r="F301" s="33">
        <v>12</v>
      </c>
      <c r="G301" s="33">
        <v>19</v>
      </c>
      <c r="H301" s="50">
        <v>24</v>
      </c>
      <c r="I301" s="30">
        <v>15600</v>
      </c>
      <c r="J301" s="66">
        <v>562</v>
      </c>
      <c r="K301" s="33">
        <v>514</v>
      </c>
      <c r="L301" s="31">
        <v>920800000</v>
      </c>
      <c r="M301" s="31">
        <v>3070000</v>
      </c>
      <c r="N301" s="31">
        <v>3512000</v>
      </c>
      <c r="O301" s="30">
        <v>243</v>
      </c>
      <c r="P301" s="30">
        <v>8378</v>
      </c>
      <c r="Q301" s="31">
        <v>33870000</v>
      </c>
      <c r="R301" s="31">
        <v>307900</v>
      </c>
      <c r="S301" s="31">
        <v>485600</v>
      </c>
      <c r="T301" s="30">
        <v>46.6</v>
      </c>
      <c r="U301" s="28">
        <v>78.12</v>
      </c>
      <c r="V301" s="31">
        <v>1654000</v>
      </c>
      <c r="W301" s="31">
        <v>2846000000000</v>
      </c>
    </row>
    <row r="302" spans="2:23" x14ac:dyDescent="0.25">
      <c r="B302" s="24" t="s">
        <v>526</v>
      </c>
      <c r="C302" s="32">
        <v>108</v>
      </c>
      <c r="D302" s="33">
        <v>597</v>
      </c>
      <c r="E302" s="33">
        <v>220</v>
      </c>
      <c r="F302" s="33">
        <v>9.8000000000000007</v>
      </c>
      <c r="G302" s="33">
        <v>17.5</v>
      </c>
      <c r="H302" s="50">
        <v>24</v>
      </c>
      <c r="I302" s="30">
        <v>13700</v>
      </c>
      <c r="J302" s="33">
        <v>562</v>
      </c>
      <c r="K302" s="33">
        <v>514</v>
      </c>
      <c r="L302" s="31">
        <v>829200000</v>
      </c>
      <c r="M302" s="31">
        <v>2778000</v>
      </c>
      <c r="N302" s="31">
        <v>3141000</v>
      </c>
      <c r="O302" s="30">
        <v>246</v>
      </c>
      <c r="P302" s="30">
        <v>7014</v>
      </c>
      <c r="Q302" s="31">
        <v>31160000</v>
      </c>
      <c r="R302" s="31">
        <v>283300</v>
      </c>
      <c r="S302" s="31">
        <v>442100</v>
      </c>
      <c r="T302" s="30">
        <v>47.699999999999996</v>
      </c>
      <c r="U302" s="33">
        <v>72.92</v>
      </c>
      <c r="V302" s="31">
        <v>1188000</v>
      </c>
      <c r="W302" s="31">
        <v>2607000000000</v>
      </c>
    </row>
    <row r="303" spans="2:23" x14ac:dyDescent="0.25">
      <c r="B303" s="24" t="s">
        <v>527</v>
      </c>
      <c r="C303" s="32">
        <v>154</v>
      </c>
      <c r="D303" s="33">
        <v>610</v>
      </c>
      <c r="E303" s="33">
        <v>224</v>
      </c>
      <c r="F303" s="33">
        <v>15</v>
      </c>
      <c r="G303" s="33">
        <v>24</v>
      </c>
      <c r="H303" s="50">
        <v>24</v>
      </c>
      <c r="I303" s="30">
        <v>19700</v>
      </c>
      <c r="J303" s="33">
        <v>562</v>
      </c>
      <c r="K303" s="33">
        <v>514</v>
      </c>
      <c r="L303" s="31">
        <v>1183000000</v>
      </c>
      <c r="M303" s="31">
        <v>3879000</v>
      </c>
      <c r="N303" s="31">
        <v>4471000</v>
      </c>
      <c r="O303" s="30">
        <v>245.2</v>
      </c>
      <c r="P303" s="30">
        <v>10440</v>
      </c>
      <c r="Q303" s="31">
        <v>45210000</v>
      </c>
      <c r="R303" s="31">
        <v>403600</v>
      </c>
      <c r="S303" s="31">
        <v>640100</v>
      </c>
      <c r="T303" s="30">
        <v>47.9</v>
      </c>
      <c r="U303" s="33">
        <v>91.12</v>
      </c>
      <c r="V303" s="31">
        <v>3181000</v>
      </c>
      <c r="W303" s="31">
        <v>3860000000000</v>
      </c>
    </row>
    <row r="304" spans="2:23" x14ac:dyDescent="0.25">
      <c r="B304" s="24" t="s">
        <v>528</v>
      </c>
      <c r="C304" s="25">
        <v>147</v>
      </c>
      <c r="D304" s="26">
        <v>753</v>
      </c>
      <c r="E304" s="33">
        <v>265</v>
      </c>
      <c r="F304" s="28">
        <v>13.2</v>
      </c>
      <c r="G304" s="28">
        <v>17</v>
      </c>
      <c r="H304" s="29">
        <v>17</v>
      </c>
      <c r="I304" s="30">
        <v>18800</v>
      </c>
      <c r="J304" s="28">
        <v>719</v>
      </c>
      <c r="K304" s="28">
        <v>685</v>
      </c>
      <c r="L304" s="31">
        <v>1661000000</v>
      </c>
      <c r="M304" s="31">
        <v>4411000</v>
      </c>
      <c r="N304" s="31">
        <v>5110000</v>
      </c>
      <c r="O304" s="30">
        <v>297.60000000000002</v>
      </c>
      <c r="P304" s="30">
        <v>10540</v>
      </c>
      <c r="Q304" s="31">
        <v>52890000</v>
      </c>
      <c r="R304" s="31">
        <v>399200</v>
      </c>
      <c r="S304" s="31">
        <v>630800</v>
      </c>
      <c r="T304" s="30">
        <v>53.099999999999994</v>
      </c>
      <c r="U304" s="34">
        <v>67.12</v>
      </c>
      <c r="V304" s="31">
        <v>1615000</v>
      </c>
      <c r="W304" s="31">
        <v>7141000000000</v>
      </c>
    </row>
    <row r="305" spans="2:23" x14ac:dyDescent="0.25">
      <c r="B305" s="24" t="s">
        <v>529</v>
      </c>
      <c r="C305" s="25">
        <v>173</v>
      </c>
      <c r="D305" s="26">
        <v>762</v>
      </c>
      <c r="E305" s="33">
        <v>267</v>
      </c>
      <c r="F305" s="28">
        <v>14.4</v>
      </c>
      <c r="G305" s="28">
        <v>21.6</v>
      </c>
      <c r="H305" s="29">
        <v>17</v>
      </c>
      <c r="I305" s="30">
        <v>22100</v>
      </c>
      <c r="J305" s="28">
        <v>718.8</v>
      </c>
      <c r="K305" s="28">
        <v>684.8</v>
      </c>
      <c r="L305" s="31">
        <v>2058000000</v>
      </c>
      <c r="M305" s="31">
        <v>5402000</v>
      </c>
      <c r="N305" s="31">
        <v>6218000</v>
      </c>
      <c r="O305" s="30">
        <v>304.89999999999998</v>
      </c>
      <c r="P305" s="30">
        <v>11640</v>
      </c>
      <c r="Q305" s="31">
        <v>68730000</v>
      </c>
      <c r="R305" s="31">
        <v>514900</v>
      </c>
      <c r="S305" s="31">
        <v>809900</v>
      </c>
      <c r="T305" s="30">
        <v>55.7</v>
      </c>
      <c r="U305" s="34">
        <v>77.52</v>
      </c>
      <c r="V305" s="31">
        <v>2736000</v>
      </c>
      <c r="W305" s="31">
        <v>9391000000000</v>
      </c>
    </row>
    <row r="306" spans="2:23" x14ac:dyDescent="0.25">
      <c r="B306" s="24" t="s">
        <v>530</v>
      </c>
      <c r="C306" s="25">
        <v>196</v>
      </c>
      <c r="D306" s="28">
        <v>770</v>
      </c>
      <c r="E306" s="27">
        <v>268</v>
      </c>
      <c r="F306" s="28">
        <v>15.6</v>
      </c>
      <c r="G306" s="28">
        <v>25.4</v>
      </c>
      <c r="H306" s="29">
        <v>17</v>
      </c>
      <c r="I306" s="30">
        <v>25100</v>
      </c>
      <c r="J306" s="28">
        <v>719.2</v>
      </c>
      <c r="K306" s="28">
        <v>685.2</v>
      </c>
      <c r="L306" s="31">
        <v>2403000000</v>
      </c>
      <c r="M306" s="31">
        <v>6241000</v>
      </c>
      <c r="N306" s="31">
        <v>7174000</v>
      </c>
      <c r="O306" s="30">
        <v>309.5</v>
      </c>
      <c r="P306" s="30">
        <v>12730</v>
      </c>
      <c r="Q306" s="31">
        <v>81750000</v>
      </c>
      <c r="R306" s="31">
        <v>610100</v>
      </c>
      <c r="S306" s="31">
        <v>958800</v>
      </c>
      <c r="T306" s="30">
        <v>57.1</v>
      </c>
      <c r="U306" s="28">
        <v>86.32</v>
      </c>
      <c r="V306" s="31">
        <v>4089000</v>
      </c>
      <c r="W306" s="31">
        <v>11290000000000</v>
      </c>
    </row>
    <row r="307" spans="2:23" x14ac:dyDescent="0.25">
      <c r="B307" s="24" t="s">
        <v>531</v>
      </c>
      <c r="C307" s="32">
        <v>6</v>
      </c>
      <c r="D307" s="33">
        <v>80</v>
      </c>
      <c r="E307" s="33">
        <v>46</v>
      </c>
      <c r="F307" s="33">
        <v>3.8</v>
      </c>
      <c r="G307" s="33">
        <v>5.2</v>
      </c>
      <c r="H307" s="50">
        <v>5</v>
      </c>
      <c r="I307" s="30">
        <v>764</v>
      </c>
      <c r="J307" s="33">
        <v>69.599999999999994</v>
      </c>
      <c r="K307" s="33">
        <v>59.6</v>
      </c>
      <c r="L307" s="31">
        <v>801400</v>
      </c>
      <c r="M307" s="31">
        <v>20030</v>
      </c>
      <c r="N307" s="31">
        <v>23220</v>
      </c>
      <c r="O307" s="30">
        <v>32.400000000000006</v>
      </c>
      <c r="P307" s="30">
        <v>358</v>
      </c>
      <c r="Q307" s="31">
        <v>84900</v>
      </c>
      <c r="R307" s="31">
        <v>3690</v>
      </c>
      <c r="S307" s="31">
        <v>5820</v>
      </c>
      <c r="T307" s="30">
        <v>10.5</v>
      </c>
      <c r="U307" s="33">
        <v>20.100000000000001</v>
      </c>
      <c r="V307" s="31">
        <v>7000</v>
      </c>
      <c r="W307" s="31">
        <v>120000000</v>
      </c>
    </row>
    <row r="308" spans="2:23" x14ac:dyDescent="0.25">
      <c r="B308" s="24" t="s">
        <v>532</v>
      </c>
      <c r="C308" s="32">
        <v>5</v>
      </c>
      <c r="D308" s="33">
        <v>78</v>
      </c>
      <c r="E308" s="33">
        <v>46</v>
      </c>
      <c r="F308" s="33">
        <v>3.3</v>
      </c>
      <c r="G308" s="33">
        <v>4.2</v>
      </c>
      <c r="H308" s="33">
        <v>5</v>
      </c>
      <c r="I308" s="30">
        <v>638</v>
      </c>
      <c r="J308" s="48">
        <v>69.599999999999994</v>
      </c>
      <c r="K308" s="33">
        <v>59.6</v>
      </c>
      <c r="L308" s="31">
        <v>643800</v>
      </c>
      <c r="M308" s="31">
        <v>16510</v>
      </c>
      <c r="N308" s="31">
        <v>18980</v>
      </c>
      <c r="O308" s="30">
        <v>31.8</v>
      </c>
      <c r="P308" s="30">
        <v>307</v>
      </c>
      <c r="Q308" s="31">
        <v>68500</v>
      </c>
      <c r="R308" s="31">
        <v>2980</v>
      </c>
      <c r="S308" s="31">
        <v>4690</v>
      </c>
      <c r="T308" s="30">
        <v>10.4</v>
      </c>
      <c r="U308" s="33">
        <v>17.600000000000001</v>
      </c>
      <c r="V308" s="31">
        <v>4200</v>
      </c>
      <c r="W308" s="31">
        <v>90000000</v>
      </c>
    </row>
    <row r="309" spans="2:23" x14ac:dyDescent="0.25">
      <c r="B309" s="24" t="s">
        <v>533</v>
      </c>
      <c r="C309" s="32">
        <v>4.9000000000000004</v>
      </c>
      <c r="D309" s="33">
        <v>78</v>
      </c>
      <c r="E309" s="33">
        <v>46</v>
      </c>
      <c r="F309" s="33">
        <v>3.2</v>
      </c>
      <c r="G309" s="33">
        <v>4.2</v>
      </c>
      <c r="H309" s="33">
        <v>5</v>
      </c>
      <c r="I309" s="30">
        <v>631</v>
      </c>
      <c r="J309" s="48">
        <v>69.599999999999994</v>
      </c>
      <c r="K309" s="33">
        <v>59.6</v>
      </c>
      <c r="L309" s="31">
        <v>641000</v>
      </c>
      <c r="M309" s="31">
        <v>16440</v>
      </c>
      <c r="N309" s="31">
        <v>18860</v>
      </c>
      <c r="O309" s="30">
        <v>31.9</v>
      </c>
      <c r="P309" s="30">
        <v>300</v>
      </c>
      <c r="Q309" s="31">
        <v>68500</v>
      </c>
      <c r="R309" s="31">
        <v>2980</v>
      </c>
      <c r="S309" s="31">
        <v>4680</v>
      </c>
      <c r="T309" s="30">
        <v>10.4</v>
      </c>
      <c r="U309" s="33">
        <v>17.46</v>
      </c>
      <c r="V309" s="31">
        <v>4000</v>
      </c>
      <c r="W309" s="31">
        <v>90000000</v>
      </c>
    </row>
    <row r="310" spans="2:23" x14ac:dyDescent="0.25">
      <c r="B310" s="24" t="s">
        <v>534</v>
      </c>
      <c r="C310" s="32">
        <v>8.34</v>
      </c>
      <c r="D310" s="33">
        <v>100</v>
      </c>
      <c r="E310" s="33">
        <v>50</v>
      </c>
      <c r="F310" s="33">
        <v>4.5</v>
      </c>
      <c r="G310" s="33">
        <v>6.8</v>
      </c>
      <c r="H310" s="33" t="s">
        <v>535</v>
      </c>
      <c r="I310" s="30">
        <v>1060</v>
      </c>
      <c r="J310" s="30" t="s">
        <v>558</v>
      </c>
      <c r="K310" s="33">
        <v>75.7</v>
      </c>
      <c r="L310" s="31">
        <v>1710000</v>
      </c>
      <c r="M310" s="31">
        <v>34200</v>
      </c>
      <c r="N310" s="31">
        <v>39800</v>
      </c>
      <c r="O310" s="30">
        <v>40.099999999999994</v>
      </c>
      <c r="P310" s="30">
        <v>484.99999999999994</v>
      </c>
      <c r="Q310" s="31">
        <v>122000</v>
      </c>
      <c r="R310" s="31">
        <v>4880</v>
      </c>
      <c r="S310" s="31">
        <v>8100</v>
      </c>
      <c r="T310" s="30">
        <v>10.700000000000001</v>
      </c>
      <c r="U310" s="28">
        <v>25</v>
      </c>
      <c r="V310" s="31">
        <v>16000</v>
      </c>
      <c r="W310" s="31">
        <v>270000000</v>
      </c>
    </row>
    <row r="311" spans="2:23" x14ac:dyDescent="0.25">
      <c r="B311" s="35" t="s">
        <v>536</v>
      </c>
      <c r="C311" s="32">
        <v>11.1</v>
      </c>
      <c r="D311" s="40">
        <v>120</v>
      </c>
      <c r="E311" s="41">
        <v>58</v>
      </c>
      <c r="F311" s="41">
        <v>5.0999999999999996</v>
      </c>
      <c r="G311" s="41">
        <v>7.7</v>
      </c>
      <c r="H311" s="33" t="s">
        <v>535</v>
      </c>
      <c r="I311" s="30">
        <v>1420</v>
      </c>
      <c r="J311" s="30" t="s">
        <v>558</v>
      </c>
      <c r="K311" s="33">
        <v>92.4</v>
      </c>
      <c r="L311" s="31">
        <v>3280000</v>
      </c>
      <c r="M311" s="31">
        <v>54700</v>
      </c>
      <c r="N311" s="31">
        <v>63600</v>
      </c>
      <c r="O311" s="30">
        <v>48.099999999999994</v>
      </c>
      <c r="P311" s="30">
        <v>663</v>
      </c>
      <c r="Q311" s="31">
        <v>215000</v>
      </c>
      <c r="R311" s="31">
        <v>7410</v>
      </c>
      <c r="S311" s="31">
        <v>12400</v>
      </c>
      <c r="T311" s="30">
        <v>12.3</v>
      </c>
      <c r="U311" s="28">
        <v>28.4</v>
      </c>
      <c r="V311" s="31">
        <v>27100</v>
      </c>
      <c r="W311" s="31">
        <v>690000000</v>
      </c>
    </row>
    <row r="312" spans="2:23" x14ac:dyDescent="0.25">
      <c r="B312" s="35" t="s">
        <v>537</v>
      </c>
      <c r="C312" s="32">
        <v>14.3</v>
      </c>
      <c r="D312" s="40">
        <v>140</v>
      </c>
      <c r="E312" s="41">
        <v>66</v>
      </c>
      <c r="F312" s="41">
        <v>5.7</v>
      </c>
      <c r="G312" s="41">
        <v>8.6</v>
      </c>
      <c r="H312" s="33" t="s">
        <v>535</v>
      </c>
      <c r="I312" s="30">
        <v>1820</v>
      </c>
      <c r="J312" s="30" t="s">
        <v>558</v>
      </c>
      <c r="K312" s="33">
        <v>109.1</v>
      </c>
      <c r="L312" s="31">
        <v>5730000</v>
      </c>
      <c r="M312" s="31">
        <v>81900</v>
      </c>
      <c r="N312" s="31">
        <v>95400</v>
      </c>
      <c r="O312" s="30">
        <v>56.1</v>
      </c>
      <c r="P312" s="30">
        <v>865</v>
      </c>
      <c r="Q312" s="31">
        <v>352000</v>
      </c>
      <c r="R312" s="31">
        <v>10700</v>
      </c>
      <c r="S312" s="31">
        <v>17900</v>
      </c>
      <c r="T312" s="30">
        <v>14</v>
      </c>
      <c r="U312" s="28">
        <v>31.8</v>
      </c>
      <c r="V312" s="31">
        <v>43200</v>
      </c>
      <c r="W312" s="31">
        <v>1540000000</v>
      </c>
    </row>
    <row r="313" spans="2:23" x14ac:dyDescent="0.25">
      <c r="B313" s="35" t="s">
        <v>538</v>
      </c>
      <c r="C313" s="32">
        <v>17.899999999999999</v>
      </c>
      <c r="D313" s="40">
        <v>160</v>
      </c>
      <c r="E313" s="41">
        <v>74</v>
      </c>
      <c r="F313" s="41">
        <v>6.3</v>
      </c>
      <c r="G313" s="41">
        <v>9.5</v>
      </c>
      <c r="H313" s="33" t="s">
        <v>535</v>
      </c>
      <c r="I313" s="30">
        <v>2280</v>
      </c>
      <c r="J313" s="30" t="s">
        <v>558</v>
      </c>
      <c r="K313" s="33">
        <v>125.8</v>
      </c>
      <c r="L313" s="31">
        <v>9350000</v>
      </c>
      <c r="M313" s="31">
        <v>117000</v>
      </c>
      <c r="N313" s="31">
        <v>136000</v>
      </c>
      <c r="O313" s="30">
        <v>64</v>
      </c>
      <c r="P313" s="30">
        <v>1083</v>
      </c>
      <c r="Q313" s="31">
        <v>547000</v>
      </c>
      <c r="R313" s="31">
        <v>14800</v>
      </c>
      <c r="S313" s="31">
        <v>24900</v>
      </c>
      <c r="T313" s="30">
        <v>15.5</v>
      </c>
      <c r="U313" s="28">
        <v>35.200000000000003</v>
      </c>
      <c r="V313" s="31">
        <v>65700</v>
      </c>
      <c r="W313" s="31">
        <v>3140000000</v>
      </c>
    </row>
    <row r="314" spans="2:23" x14ac:dyDescent="0.25">
      <c r="B314" s="35" t="s">
        <v>539</v>
      </c>
      <c r="C314" s="32">
        <v>21.9</v>
      </c>
      <c r="D314" s="40">
        <v>180</v>
      </c>
      <c r="E314" s="41">
        <v>82</v>
      </c>
      <c r="F314" s="41">
        <v>6.9</v>
      </c>
      <c r="G314" s="41">
        <v>10.4</v>
      </c>
      <c r="H314" s="33" t="s">
        <v>535</v>
      </c>
      <c r="I314" s="30">
        <v>2790</v>
      </c>
      <c r="J314" s="30" t="s">
        <v>558</v>
      </c>
      <c r="K314" s="33">
        <v>142.4</v>
      </c>
      <c r="L314" s="31">
        <v>14500000</v>
      </c>
      <c r="M314" s="31">
        <v>161000</v>
      </c>
      <c r="N314" s="31">
        <v>187000</v>
      </c>
      <c r="O314" s="30">
        <v>72</v>
      </c>
      <c r="P314" s="30">
        <v>1335</v>
      </c>
      <c r="Q314" s="31">
        <v>813000</v>
      </c>
      <c r="R314" s="31">
        <v>19800</v>
      </c>
      <c r="S314" s="31">
        <v>33200</v>
      </c>
      <c r="T314" s="30">
        <v>17.100000000000001</v>
      </c>
      <c r="U314" s="28">
        <v>38.6</v>
      </c>
      <c r="V314" s="31">
        <v>95800</v>
      </c>
      <c r="W314" s="31">
        <v>5920000000</v>
      </c>
    </row>
    <row r="315" spans="2:23" x14ac:dyDescent="0.25">
      <c r="B315" s="35" t="s">
        <v>540</v>
      </c>
      <c r="C315" s="32">
        <v>26.2</v>
      </c>
      <c r="D315" s="40">
        <v>200</v>
      </c>
      <c r="E315" s="41">
        <v>90</v>
      </c>
      <c r="F315" s="41">
        <v>7.5</v>
      </c>
      <c r="G315" s="41">
        <v>11.3</v>
      </c>
      <c r="H315" s="33" t="s">
        <v>535</v>
      </c>
      <c r="I315" s="30">
        <v>3340</v>
      </c>
      <c r="J315" s="30" t="s">
        <v>558</v>
      </c>
      <c r="K315" s="33">
        <v>159.1</v>
      </c>
      <c r="L315" s="31">
        <v>21400000</v>
      </c>
      <c r="M315" s="31">
        <v>214000</v>
      </c>
      <c r="N315" s="31">
        <v>250000</v>
      </c>
      <c r="O315" s="30">
        <v>80</v>
      </c>
      <c r="P315" s="30">
        <v>1603</v>
      </c>
      <c r="Q315" s="31">
        <v>1170000</v>
      </c>
      <c r="R315" s="31">
        <v>26000</v>
      </c>
      <c r="S315" s="31">
        <v>43500</v>
      </c>
      <c r="T315" s="30">
        <v>18.700000000000003</v>
      </c>
      <c r="U315" s="28">
        <v>42</v>
      </c>
      <c r="V315" s="31">
        <v>135000</v>
      </c>
      <c r="W315" s="31">
        <v>10500000000</v>
      </c>
    </row>
    <row r="316" spans="2:23" x14ac:dyDescent="0.25">
      <c r="B316" s="35" t="s">
        <v>541</v>
      </c>
      <c r="C316" s="32">
        <v>31.1</v>
      </c>
      <c r="D316" s="40">
        <v>220</v>
      </c>
      <c r="E316" s="41">
        <v>98</v>
      </c>
      <c r="F316" s="41">
        <v>8.1</v>
      </c>
      <c r="G316" s="41">
        <v>12.2</v>
      </c>
      <c r="H316" s="33" t="s">
        <v>535</v>
      </c>
      <c r="I316" s="30">
        <v>3950</v>
      </c>
      <c r="J316" s="30" t="s">
        <v>558</v>
      </c>
      <c r="K316" s="33">
        <v>175.8</v>
      </c>
      <c r="L316" s="31">
        <v>30600000</v>
      </c>
      <c r="M316" s="31">
        <v>278000</v>
      </c>
      <c r="N316" s="31">
        <v>324000</v>
      </c>
      <c r="O316" s="30">
        <v>88</v>
      </c>
      <c r="P316" s="30">
        <v>1905.9999999999998</v>
      </c>
      <c r="Q316" s="31">
        <v>1620000</v>
      </c>
      <c r="R316" s="31">
        <v>33100</v>
      </c>
      <c r="S316" s="31">
        <v>55700</v>
      </c>
      <c r="T316" s="30">
        <v>20.2</v>
      </c>
      <c r="U316" s="28">
        <v>45.4</v>
      </c>
      <c r="V316" s="31">
        <v>186000</v>
      </c>
      <c r="W316" s="31">
        <v>17800000000</v>
      </c>
    </row>
    <row r="317" spans="2:23" x14ac:dyDescent="0.25">
      <c r="B317" s="35" t="s">
        <v>542</v>
      </c>
      <c r="C317" s="32">
        <v>36.200000000000003</v>
      </c>
      <c r="D317" s="40">
        <v>240</v>
      </c>
      <c r="E317" s="41">
        <v>106</v>
      </c>
      <c r="F317" s="41">
        <v>8.6999999999999993</v>
      </c>
      <c r="G317" s="41">
        <v>13.1</v>
      </c>
      <c r="H317" s="33" t="s">
        <v>535</v>
      </c>
      <c r="I317" s="30">
        <v>4610</v>
      </c>
      <c r="J317" s="30" t="s">
        <v>558</v>
      </c>
      <c r="K317" s="33">
        <v>192.5</v>
      </c>
      <c r="L317" s="31">
        <v>42500000</v>
      </c>
      <c r="M317" s="31">
        <v>354000</v>
      </c>
      <c r="N317" s="31">
        <v>412000</v>
      </c>
      <c r="O317" s="30">
        <v>95.9</v>
      </c>
      <c r="P317" s="30">
        <v>2233</v>
      </c>
      <c r="Q317" s="31">
        <v>2210000</v>
      </c>
      <c r="R317" s="31">
        <v>41700</v>
      </c>
      <c r="S317" s="31">
        <v>70000</v>
      </c>
      <c r="T317" s="30">
        <v>22</v>
      </c>
      <c r="U317" s="28">
        <v>48.9</v>
      </c>
      <c r="V317" s="31">
        <v>250000</v>
      </c>
      <c r="W317" s="31">
        <v>28700000000</v>
      </c>
    </row>
    <row r="318" spans="2:23" x14ac:dyDescent="0.25">
      <c r="B318" s="35" t="s">
        <v>543</v>
      </c>
      <c r="C318" s="32">
        <v>41.9</v>
      </c>
      <c r="D318" s="40">
        <v>260</v>
      </c>
      <c r="E318" s="41">
        <v>113</v>
      </c>
      <c r="F318" s="41">
        <v>9.4</v>
      </c>
      <c r="G318" s="41">
        <v>14.1</v>
      </c>
      <c r="H318" s="33" t="s">
        <v>535</v>
      </c>
      <c r="I318" s="30">
        <v>5330</v>
      </c>
      <c r="J318" s="30" t="s">
        <v>558</v>
      </c>
      <c r="K318" s="33">
        <v>208.9</v>
      </c>
      <c r="L318" s="31">
        <v>57400000</v>
      </c>
      <c r="M318" s="31">
        <v>442000</v>
      </c>
      <c r="N318" s="31">
        <v>514000</v>
      </c>
      <c r="O318" s="30">
        <v>104</v>
      </c>
      <c r="P318" s="30">
        <v>2608</v>
      </c>
      <c r="Q318" s="31">
        <v>2880000</v>
      </c>
      <c r="R318" s="31">
        <v>51000</v>
      </c>
      <c r="S318" s="31">
        <v>85900</v>
      </c>
      <c r="T318" s="30">
        <v>23.2</v>
      </c>
      <c r="U318" s="28">
        <v>52.6</v>
      </c>
      <c r="V318" s="31">
        <v>335000</v>
      </c>
      <c r="W318" s="31">
        <v>44100000000</v>
      </c>
    </row>
    <row r="319" spans="2:23" x14ac:dyDescent="0.25">
      <c r="B319" s="35" t="s">
        <v>544</v>
      </c>
      <c r="C319" s="25">
        <v>47.9</v>
      </c>
      <c r="D319" s="40">
        <v>280</v>
      </c>
      <c r="E319" s="41">
        <v>119</v>
      </c>
      <c r="F319" s="41">
        <v>10.1</v>
      </c>
      <c r="G319" s="41">
        <v>15.2</v>
      </c>
      <c r="H319" s="33" t="s">
        <v>535</v>
      </c>
      <c r="I319" s="30">
        <v>6100</v>
      </c>
      <c r="J319" s="30" t="s">
        <v>558</v>
      </c>
      <c r="K319" s="33">
        <v>225.1</v>
      </c>
      <c r="L319" s="31">
        <v>75900000</v>
      </c>
      <c r="M319" s="31">
        <v>542000</v>
      </c>
      <c r="N319" s="31">
        <v>632000</v>
      </c>
      <c r="O319" s="30">
        <v>111</v>
      </c>
      <c r="P319" s="30">
        <v>3018</v>
      </c>
      <c r="Q319" s="31">
        <v>3640000</v>
      </c>
      <c r="R319" s="31">
        <v>61200</v>
      </c>
      <c r="S319" s="31">
        <v>103000</v>
      </c>
      <c r="T319" s="30">
        <v>24.5</v>
      </c>
      <c r="U319" s="28">
        <v>56.4</v>
      </c>
      <c r="V319" s="31">
        <v>442000</v>
      </c>
      <c r="W319" s="31">
        <v>64599999999.999992</v>
      </c>
    </row>
    <row r="320" spans="2:23" x14ac:dyDescent="0.25">
      <c r="B320" s="35" t="s">
        <v>545</v>
      </c>
      <c r="C320" s="25">
        <v>54.2</v>
      </c>
      <c r="D320" s="40">
        <v>300</v>
      </c>
      <c r="E320" s="41">
        <v>125</v>
      </c>
      <c r="F320" s="41">
        <v>10.8</v>
      </c>
      <c r="G320" s="41">
        <v>16.2</v>
      </c>
      <c r="H320" s="33" t="s">
        <v>535</v>
      </c>
      <c r="I320" s="30">
        <v>6900</v>
      </c>
      <c r="J320" s="30" t="s">
        <v>558</v>
      </c>
      <c r="K320" s="33">
        <v>241.6</v>
      </c>
      <c r="L320" s="31">
        <v>98000000</v>
      </c>
      <c r="M320" s="31">
        <v>653000</v>
      </c>
      <c r="N320" s="31">
        <v>762000</v>
      </c>
      <c r="O320" s="30">
        <v>119</v>
      </c>
      <c r="P320" s="30">
        <v>3458</v>
      </c>
      <c r="Q320" s="31">
        <v>4510000</v>
      </c>
      <c r="R320" s="31">
        <v>72200</v>
      </c>
      <c r="S320" s="31">
        <v>121000</v>
      </c>
      <c r="T320" s="30">
        <v>25.6</v>
      </c>
      <c r="U320" s="28">
        <v>60.1</v>
      </c>
      <c r="V320" s="31">
        <v>568000</v>
      </c>
      <c r="W320" s="31">
        <v>91800000000</v>
      </c>
    </row>
    <row r="321" spans="2:23" x14ac:dyDescent="0.25">
      <c r="B321" s="35" t="s">
        <v>546</v>
      </c>
      <c r="C321" s="32">
        <v>61</v>
      </c>
      <c r="D321" s="40">
        <v>320</v>
      </c>
      <c r="E321" s="41">
        <v>131</v>
      </c>
      <c r="F321" s="41">
        <v>11.5</v>
      </c>
      <c r="G321" s="41">
        <v>17.3</v>
      </c>
      <c r="H321" s="33" t="s">
        <v>535</v>
      </c>
      <c r="I321" s="30">
        <v>7770</v>
      </c>
      <c r="J321" s="30" t="s">
        <v>558</v>
      </c>
      <c r="K321" s="33">
        <v>257.89999999999998</v>
      </c>
      <c r="L321" s="31">
        <v>125100000</v>
      </c>
      <c r="M321" s="31">
        <v>782000</v>
      </c>
      <c r="N321" s="31">
        <v>914000</v>
      </c>
      <c r="O321" s="30">
        <v>127</v>
      </c>
      <c r="P321" s="30">
        <v>3926</v>
      </c>
      <c r="Q321" s="31">
        <v>5550000</v>
      </c>
      <c r="R321" s="31">
        <v>84700</v>
      </c>
      <c r="S321" s="31">
        <v>143000</v>
      </c>
      <c r="T321" s="30">
        <v>26.7</v>
      </c>
      <c r="U321" s="28">
        <v>63.9</v>
      </c>
      <c r="V321" s="31">
        <v>725000</v>
      </c>
      <c r="W321" s="31">
        <v>129000000000</v>
      </c>
    </row>
    <row r="322" spans="2:23" x14ac:dyDescent="0.25">
      <c r="B322" s="35" t="s">
        <v>547</v>
      </c>
      <c r="C322" s="25">
        <v>68</v>
      </c>
      <c r="D322" s="40">
        <v>340</v>
      </c>
      <c r="E322" s="41">
        <v>137</v>
      </c>
      <c r="F322" s="41">
        <v>12.2</v>
      </c>
      <c r="G322" s="41">
        <v>18.3</v>
      </c>
      <c r="H322" s="33" t="s">
        <v>535</v>
      </c>
      <c r="I322" s="30">
        <v>8670</v>
      </c>
      <c r="J322" s="30" t="s">
        <v>558</v>
      </c>
      <c r="K322" s="33">
        <v>274.3</v>
      </c>
      <c r="L322" s="31">
        <v>157000000</v>
      </c>
      <c r="M322" s="31">
        <v>923000</v>
      </c>
      <c r="N322" s="31">
        <v>1080000</v>
      </c>
      <c r="O322" s="30">
        <v>135</v>
      </c>
      <c r="P322" s="30">
        <v>4427</v>
      </c>
      <c r="Q322" s="31">
        <v>6740000</v>
      </c>
      <c r="R322" s="31">
        <v>98400</v>
      </c>
      <c r="S322" s="31">
        <v>166000</v>
      </c>
      <c r="T322" s="30">
        <v>28</v>
      </c>
      <c r="U322" s="28">
        <v>67.599999999999994</v>
      </c>
      <c r="V322" s="31">
        <v>904000</v>
      </c>
      <c r="W322" s="31">
        <v>176000000000</v>
      </c>
    </row>
    <row r="323" spans="2:23" x14ac:dyDescent="0.25">
      <c r="B323" s="35" t="s">
        <v>548</v>
      </c>
      <c r="C323" s="32">
        <v>76.099999999999994</v>
      </c>
      <c r="D323" s="40">
        <v>360</v>
      </c>
      <c r="E323" s="41">
        <v>143</v>
      </c>
      <c r="F323" s="41">
        <v>13</v>
      </c>
      <c r="G323" s="41">
        <v>19.5</v>
      </c>
      <c r="H323" s="33" t="s">
        <v>535</v>
      </c>
      <c r="I323" s="30">
        <v>9700</v>
      </c>
      <c r="J323" s="30" t="s">
        <v>558</v>
      </c>
      <c r="K323" s="33">
        <v>290.2</v>
      </c>
      <c r="L323" s="31">
        <v>196100000</v>
      </c>
      <c r="M323" s="31">
        <v>1090000</v>
      </c>
      <c r="N323" s="31">
        <v>1276000</v>
      </c>
      <c r="O323" s="30">
        <v>142</v>
      </c>
      <c r="P323" s="30">
        <v>4995</v>
      </c>
      <c r="Q323" s="31">
        <v>8180000</v>
      </c>
      <c r="R323" s="31">
        <v>114000</v>
      </c>
      <c r="S323" s="31">
        <v>194000</v>
      </c>
      <c r="T323" s="30">
        <v>29</v>
      </c>
      <c r="U323" s="28">
        <v>71.8</v>
      </c>
      <c r="V323" s="31">
        <v>1150000</v>
      </c>
      <c r="W323" s="31">
        <v>240000000000</v>
      </c>
    </row>
    <row r="324" spans="2:23" x14ac:dyDescent="0.25">
      <c r="B324" s="35" t="s">
        <v>549</v>
      </c>
      <c r="C324" s="32">
        <v>84</v>
      </c>
      <c r="D324" s="40">
        <v>380</v>
      </c>
      <c r="E324" s="41">
        <v>149</v>
      </c>
      <c r="F324" s="41">
        <v>13.7</v>
      </c>
      <c r="G324" s="41">
        <v>20.5</v>
      </c>
      <c r="H324" s="33" t="s">
        <v>535</v>
      </c>
      <c r="I324" s="30">
        <v>10700</v>
      </c>
      <c r="J324" s="30" t="s">
        <v>558</v>
      </c>
      <c r="K324" s="33">
        <v>306.7</v>
      </c>
      <c r="L324" s="31">
        <v>240100000</v>
      </c>
      <c r="M324" s="31">
        <v>1260000</v>
      </c>
      <c r="N324" s="31">
        <v>1482000</v>
      </c>
      <c r="O324" s="30">
        <v>150</v>
      </c>
      <c r="P324" s="30">
        <v>5555</v>
      </c>
      <c r="Q324" s="31">
        <v>9750000</v>
      </c>
      <c r="R324" s="31">
        <v>131000</v>
      </c>
      <c r="S324" s="31">
        <v>221000</v>
      </c>
      <c r="T324" s="30">
        <v>30.2</v>
      </c>
      <c r="U324" s="28">
        <v>75.400000000000006</v>
      </c>
      <c r="V324" s="31">
        <v>1410000</v>
      </c>
      <c r="W324" s="31">
        <v>319000000000</v>
      </c>
    </row>
    <row r="325" spans="2:23" x14ac:dyDescent="0.25">
      <c r="B325" s="35" t="s">
        <v>550</v>
      </c>
      <c r="C325" s="32">
        <v>92.4</v>
      </c>
      <c r="D325" s="40">
        <v>400</v>
      </c>
      <c r="E325" s="41">
        <v>155</v>
      </c>
      <c r="F325" s="41">
        <v>14.4</v>
      </c>
      <c r="G325" s="41">
        <v>21.6</v>
      </c>
      <c r="H325" s="33" t="s">
        <v>535</v>
      </c>
      <c r="I325" s="30">
        <v>11800</v>
      </c>
      <c r="J325" s="30" t="s">
        <v>558</v>
      </c>
      <c r="K325" s="33">
        <v>322.89999999999998</v>
      </c>
      <c r="L325" s="31">
        <v>292100000</v>
      </c>
      <c r="M325" s="31">
        <v>1460000</v>
      </c>
      <c r="N325" s="31">
        <v>1714000</v>
      </c>
      <c r="O325" s="30">
        <v>157</v>
      </c>
      <c r="P325" s="30">
        <v>6169</v>
      </c>
      <c r="Q325" s="31">
        <v>11600000</v>
      </c>
      <c r="R325" s="31">
        <v>149000</v>
      </c>
      <c r="S325" s="31">
        <v>253000</v>
      </c>
      <c r="T325" s="30">
        <v>31.299999999999997</v>
      </c>
      <c r="U325" s="28">
        <v>79.3</v>
      </c>
      <c r="V325" s="31">
        <v>1700000</v>
      </c>
      <c r="W325" s="31">
        <v>420000000000</v>
      </c>
    </row>
    <row r="326" spans="2:23" x14ac:dyDescent="0.25">
      <c r="B326" s="35" t="s">
        <v>551</v>
      </c>
      <c r="C326" s="32">
        <v>115</v>
      </c>
      <c r="D326" s="40">
        <v>450</v>
      </c>
      <c r="E326" s="41">
        <v>170</v>
      </c>
      <c r="F326" s="41">
        <v>16.2</v>
      </c>
      <c r="G326" s="41">
        <v>24.3</v>
      </c>
      <c r="H326" s="33" t="s">
        <v>535</v>
      </c>
      <c r="I326" s="30">
        <v>14700</v>
      </c>
      <c r="J326" s="30" t="s">
        <v>558</v>
      </c>
      <c r="K326" s="33">
        <v>363.6</v>
      </c>
      <c r="L326" s="31">
        <v>458500000</v>
      </c>
      <c r="M326" s="31">
        <v>2040000</v>
      </c>
      <c r="N326" s="31">
        <v>2400000</v>
      </c>
      <c r="O326" s="30">
        <v>177</v>
      </c>
      <c r="P326" s="30">
        <v>7779.0000000000009</v>
      </c>
      <c r="Q326" s="31">
        <v>17300000</v>
      </c>
      <c r="R326" s="31">
        <v>203000</v>
      </c>
      <c r="S326" s="31">
        <v>345000</v>
      </c>
      <c r="T326" s="30">
        <v>34.300000000000004</v>
      </c>
      <c r="U326" s="28">
        <v>88.9</v>
      </c>
      <c r="V326" s="31">
        <v>2670000</v>
      </c>
      <c r="W326" s="31">
        <v>791000000000</v>
      </c>
    </row>
    <row r="327" spans="2:23" x14ac:dyDescent="0.25">
      <c r="B327" s="35" t="s">
        <v>552</v>
      </c>
      <c r="C327" s="32">
        <v>141</v>
      </c>
      <c r="D327" s="40">
        <v>500</v>
      </c>
      <c r="E327" s="41">
        <v>185</v>
      </c>
      <c r="F327" s="41">
        <v>18</v>
      </c>
      <c r="G327" s="41">
        <v>27</v>
      </c>
      <c r="H327" s="33" t="s">
        <v>535</v>
      </c>
      <c r="I327" s="30">
        <v>17900</v>
      </c>
      <c r="J327" s="30" t="s">
        <v>558</v>
      </c>
      <c r="K327" s="67">
        <v>404.3</v>
      </c>
      <c r="L327" s="31">
        <v>687400000</v>
      </c>
      <c r="M327" s="31">
        <v>2750000</v>
      </c>
      <c r="N327" s="31">
        <v>3240000</v>
      </c>
      <c r="O327" s="30">
        <v>196</v>
      </c>
      <c r="P327" s="30">
        <v>9560</v>
      </c>
      <c r="Q327" s="31">
        <v>24800000</v>
      </c>
      <c r="R327" s="31">
        <v>268000</v>
      </c>
      <c r="S327" s="31">
        <v>456000</v>
      </c>
      <c r="T327" s="30">
        <v>37.200000000000003</v>
      </c>
      <c r="U327" s="34">
        <v>98.5</v>
      </c>
      <c r="V327" s="31">
        <v>4020000</v>
      </c>
      <c r="W327" s="31">
        <v>1400000000000</v>
      </c>
    </row>
    <row r="328" spans="2:23" x14ac:dyDescent="0.25">
      <c r="B328" s="68" t="s">
        <v>553</v>
      </c>
      <c r="C328" s="55">
        <v>166</v>
      </c>
      <c r="D328" s="36">
        <v>550</v>
      </c>
      <c r="E328" s="37">
        <v>200</v>
      </c>
      <c r="F328" s="37">
        <v>19</v>
      </c>
      <c r="G328" s="38">
        <v>30</v>
      </c>
      <c r="H328" s="27" t="s">
        <v>535</v>
      </c>
      <c r="I328" s="30">
        <v>21200</v>
      </c>
      <c r="J328" s="30" t="s">
        <v>558</v>
      </c>
      <c r="K328" s="28">
        <v>445.6</v>
      </c>
      <c r="L328" s="31">
        <v>991800000</v>
      </c>
      <c r="M328" s="31">
        <v>3610000</v>
      </c>
      <c r="N328" s="31">
        <v>4240000</v>
      </c>
      <c r="O328" s="30">
        <v>216</v>
      </c>
      <c r="P328" s="30">
        <v>11130</v>
      </c>
      <c r="Q328" s="31">
        <v>34900000</v>
      </c>
      <c r="R328" s="31">
        <v>349000</v>
      </c>
      <c r="S328" s="31">
        <v>592000</v>
      </c>
      <c r="T328" s="30">
        <v>40.199999999999996</v>
      </c>
      <c r="U328" s="28">
        <v>107.3</v>
      </c>
      <c r="V328" s="31">
        <v>5440000</v>
      </c>
      <c r="W328" s="31">
        <v>2390000000000</v>
      </c>
    </row>
    <row r="329" spans="2:23" x14ac:dyDescent="0.25">
      <c r="B329" s="68" t="s">
        <v>554</v>
      </c>
      <c r="C329" s="55">
        <v>199</v>
      </c>
      <c r="D329" s="27">
        <v>600</v>
      </c>
      <c r="E329" s="27">
        <v>215</v>
      </c>
      <c r="F329" s="27">
        <v>21.6</v>
      </c>
      <c r="G329" s="27">
        <v>32.4</v>
      </c>
      <c r="H329" s="64" t="s">
        <v>535</v>
      </c>
      <c r="I329" s="30">
        <v>25400</v>
      </c>
      <c r="J329" s="30" t="s">
        <v>558</v>
      </c>
      <c r="K329" s="28">
        <v>485.8</v>
      </c>
      <c r="L329" s="31">
        <v>1390000000</v>
      </c>
      <c r="M329" s="31">
        <v>4630000</v>
      </c>
      <c r="N329" s="31">
        <v>5452000</v>
      </c>
      <c r="O329" s="30">
        <v>233.9</v>
      </c>
      <c r="P329" s="30">
        <v>13800</v>
      </c>
      <c r="Q329" s="31">
        <v>46700000</v>
      </c>
      <c r="R329" s="31">
        <v>434000</v>
      </c>
      <c r="S329" s="31">
        <v>752000</v>
      </c>
      <c r="T329" s="30">
        <v>43</v>
      </c>
      <c r="U329" s="28">
        <v>117.6</v>
      </c>
      <c r="V329" s="31">
        <v>7870000</v>
      </c>
      <c r="W329" s="31">
        <v>3814000000000</v>
      </c>
    </row>
    <row r="330" spans="2:23" x14ac:dyDescent="0.25">
      <c r="B330" s="35" t="s">
        <v>555</v>
      </c>
      <c r="C330" s="32">
        <v>5.94</v>
      </c>
      <c r="D330" s="33">
        <v>80</v>
      </c>
      <c r="E330" s="33">
        <v>42</v>
      </c>
      <c r="F330" s="33">
        <v>3.9</v>
      </c>
      <c r="G330" s="33">
        <v>5.9</v>
      </c>
      <c r="H330" s="50" t="s">
        <v>535</v>
      </c>
      <c r="I330" s="30">
        <v>757</v>
      </c>
      <c r="J330" s="30" t="s">
        <v>558</v>
      </c>
      <c r="K330" s="33">
        <v>59</v>
      </c>
      <c r="L330" s="31">
        <v>778000</v>
      </c>
      <c r="M330" s="31">
        <v>19500</v>
      </c>
      <c r="N330" s="31">
        <v>22800</v>
      </c>
      <c r="O330" s="30">
        <v>32</v>
      </c>
      <c r="P330" s="30">
        <v>341</v>
      </c>
      <c r="Q330" s="31">
        <v>62900</v>
      </c>
      <c r="R330" s="31">
        <v>3000</v>
      </c>
      <c r="S330" s="31">
        <v>5000</v>
      </c>
      <c r="T330" s="30">
        <v>9.1</v>
      </c>
      <c r="U330" s="28">
        <v>21.6</v>
      </c>
      <c r="V330" s="31">
        <v>8700</v>
      </c>
      <c r="W330" s="31">
        <v>90000000</v>
      </c>
    </row>
    <row r="331" spans="2:23" x14ac:dyDescent="0.25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</row>
    <row r="332" spans="2:23" x14ac:dyDescent="0.25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</row>
    <row r="333" spans="2:23" x14ac:dyDescent="0.25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</row>
    <row r="334" spans="2:23" x14ac:dyDescent="0.25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</row>
    <row r="335" spans="2:23" x14ac:dyDescent="0.25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</row>
    <row r="336" spans="2:23" x14ac:dyDescent="0.25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</row>
    <row r="337" spans="2:2" customFormat="1" x14ac:dyDescent="0.25"/>
    <row r="338" spans="2:2" customFormat="1" x14ac:dyDescent="0.25"/>
    <row r="339" spans="2:2" customFormat="1" x14ac:dyDescent="0.25"/>
    <row r="340" spans="2:2" customFormat="1" x14ac:dyDescent="0.25"/>
    <row r="341" spans="2:2" customFormat="1" x14ac:dyDescent="0.25"/>
    <row r="342" spans="2:2" customFormat="1" x14ac:dyDescent="0.25"/>
    <row r="343" spans="2:2" customFormat="1" x14ac:dyDescent="0.25"/>
    <row r="344" spans="2:2" customFormat="1" x14ac:dyDescent="0.25"/>
    <row r="345" spans="2:2" customFormat="1" x14ac:dyDescent="0.25"/>
    <row r="346" spans="2:2" customFormat="1" x14ac:dyDescent="0.25"/>
    <row r="347" spans="2:2" customFormat="1" x14ac:dyDescent="0.25"/>
    <row r="348" spans="2:2" customFormat="1" x14ac:dyDescent="0.25"/>
    <row r="349" spans="2:2" customFormat="1" x14ac:dyDescent="0.25"/>
    <row r="350" spans="2:2" s="9" customFormat="1" x14ac:dyDescent="0.25">
      <c r="B350" s="9" t="s">
        <v>583</v>
      </c>
    </row>
    <row r="351" spans="2:2" customFormat="1" x14ac:dyDescent="0.25"/>
    <row r="352" spans="2:2" customFormat="1" x14ac:dyDescent="0.25"/>
    <row r="353" spans="2:23" x14ac:dyDescent="0.25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</row>
    <row r="354" spans="2:23" x14ac:dyDescent="0.25">
      <c r="B354" s="71"/>
      <c r="C354" s="72"/>
      <c r="D354" s="69"/>
      <c r="E354" s="73"/>
      <c r="F354" s="74"/>
      <c r="G354" s="75"/>
      <c r="H354" s="75"/>
      <c r="I354" s="76">
        <v>1</v>
      </c>
      <c r="J354" s="76">
        <v>2</v>
      </c>
      <c r="K354" s="76">
        <v>3</v>
      </c>
      <c r="L354" s="76">
        <v>4</v>
      </c>
      <c r="M354" s="76">
        <v>5</v>
      </c>
      <c r="N354" s="76">
        <v>6</v>
      </c>
      <c r="O354" s="76">
        <v>7</v>
      </c>
      <c r="P354" s="76">
        <v>8</v>
      </c>
      <c r="Q354" s="76">
        <v>9</v>
      </c>
      <c r="R354" s="76">
        <v>10</v>
      </c>
      <c r="S354" s="76">
        <v>11</v>
      </c>
      <c r="T354" s="76">
        <v>12</v>
      </c>
      <c r="U354" s="76">
        <v>13</v>
      </c>
      <c r="V354" s="76">
        <v>14</v>
      </c>
      <c r="W354" s="76"/>
    </row>
    <row r="355" spans="2:23" ht="114.75" x14ac:dyDescent="0.25">
      <c r="B355" s="77"/>
      <c r="C355" s="72"/>
      <c r="D355" s="69"/>
      <c r="E355" s="73"/>
      <c r="F355" s="74"/>
      <c r="G355" s="75" t="s">
        <v>676</v>
      </c>
      <c r="H355" s="78" t="s">
        <v>718</v>
      </c>
      <c r="I355" s="79" t="s">
        <v>719</v>
      </c>
      <c r="J355" s="79" t="s">
        <v>723</v>
      </c>
      <c r="K355" s="79" t="s">
        <v>725</v>
      </c>
      <c r="L355" s="79" t="s">
        <v>727</v>
      </c>
      <c r="M355" s="79" t="s">
        <v>729</v>
      </c>
      <c r="N355" s="79" t="s">
        <v>731</v>
      </c>
      <c r="O355" s="79" t="s">
        <v>733</v>
      </c>
      <c r="P355" s="79" t="s">
        <v>735</v>
      </c>
      <c r="Q355" s="79" t="s">
        <v>738</v>
      </c>
      <c r="R355" s="79" t="s">
        <v>740</v>
      </c>
      <c r="S355" s="79" t="s">
        <v>742</v>
      </c>
      <c r="T355" s="79" t="s">
        <v>744</v>
      </c>
      <c r="U355" s="80" t="s">
        <v>746</v>
      </c>
      <c r="V355" s="81" t="s">
        <v>749</v>
      </c>
      <c r="W355" s="80" t="s">
        <v>751</v>
      </c>
    </row>
    <row r="356" spans="2:23" ht="25.5" x14ac:dyDescent="0.25">
      <c r="B356" s="188" t="s">
        <v>584</v>
      </c>
      <c r="C356" s="189" t="s">
        <v>597</v>
      </c>
      <c r="D356" s="69" t="s">
        <v>615</v>
      </c>
      <c r="E356" s="73" t="s">
        <v>667</v>
      </c>
      <c r="F356" s="74" t="s">
        <v>671</v>
      </c>
      <c r="G356" s="75" t="s">
        <v>677</v>
      </c>
      <c r="H356" s="75"/>
      <c r="I356" s="82" t="s">
        <v>720</v>
      </c>
      <c r="J356" s="82" t="s">
        <v>724</v>
      </c>
      <c r="K356" s="82" t="s">
        <v>726</v>
      </c>
      <c r="L356" s="82" t="s">
        <v>728</v>
      </c>
      <c r="M356" s="82" t="s">
        <v>730</v>
      </c>
      <c r="N356" s="82" t="s">
        <v>732</v>
      </c>
      <c r="O356" s="82" t="s">
        <v>734</v>
      </c>
      <c r="P356" s="82" t="s">
        <v>736</v>
      </c>
      <c r="Q356" s="82" t="s">
        <v>739</v>
      </c>
      <c r="R356" s="82" t="s">
        <v>741</v>
      </c>
      <c r="S356" s="82" t="s">
        <v>743</v>
      </c>
      <c r="T356" s="82" t="s">
        <v>745</v>
      </c>
      <c r="U356" s="83" t="s">
        <v>747</v>
      </c>
      <c r="V356" s="83" t="s">
        <v>750</v>
      </c>
      <c r="W356" s="83"/>
    </row>
    <row r="357" spans="2:23" x14ac:dyDescent="0.25">
      <c r="B357" s="188"/>
      <c r="C357" s="189"/>
      <c r="D357" s="69"/>
      <c r="E357" s="73"/>
      <c r="F357" s="74"/>
      <c r="G357" s="75" t="s">
        <v>678</v>
      </c>
      <c r="H357" s="75"/>
      <c r="I357" s="81" t="s">
        <v>721</v>
      </c>
      <c r="J357" s="81" t="s">
        <v>721</v>
      </c>
      <c r="K357" s="81" t="s">
        <v>721</v>
      </c>
      <c r="L357" s="81" t="s">
        <v>721</v>
      </c>
      <c r="M357" s="81" t="s">
        <v>721</v>
      </c>
      <c r="N357" s="81" t="s">
        <v>721</v>
      </c>
      <c r="O357" s="81" t="s">
        <v>721</v>
      </c>
      <c r="P357" s="81" t="s">
        <v>737</v>
      </c>
      <c r="Q357" s="81" t="s">
        <v>737</v>
      </c>
      <c r="R357" s="81" t="s">
        <v>737</v>
      </c>
      <c r="S357" s="81" t="s">
        <v>737</v>
      </c>
      <c r="T357" s="81" t="s">
        <v>737</v>
      </c>
      <c r="U357" s="81" t="s">
        <v>748</v>
      </c>
      <c r="V357" s="81" t="s">
        <v>748</v>
      </c>
      <c r="W357" s="81"/>
    </row>
    <row r="358" spans="2:23" x14ac:dyDescent="0.25">
      <c r="B358" s="71"/>
      <c r="C358" s="72"/>
      <c r="D358" s="69"/>
      <c r="E358" s="73"/>
      <c r="F358" s="74" t="s">
        <v>752</v>
      </c>
      <c r="G358" s="146" t="s">
        <v>677</v>
      </c>
      <c r="H358" s="147" t="s">
        <v>768</v>
      </c>
      <c r="I358" s="148" t="s">
        <v>753</v>
      </c>
      <c r="J358" s="148" t="s">
        <v>755</v>
      </c>
      <c r="K358" s="148" t="s">
        <v>754</v>
      </c>
      <c r="L358" s="148" t="s">
        <v>756</v>
      </c>
      <c r="M358" s="148" t="s">
        <v>757</v>
      </c>
      <c r="N358" s="148" t="s">
        <v>758</v>
      </c>
      <c r="O358" s="148" t="s">
        <v>759</v>
      </c>
      <c r="P358" s="148" t="s">
        <v>760</v>
      </c>
      <c r="Q358" s="148" t="s">
        <v>761</v>
      </c>
      <c r="R358" s="148" t="s">
        <v>762</v>
      </c>
      <c r="S358" s="148" t="s">
        <v>763</v>
      </c>
      <c r="T358" s="148" t="s">
        <v>764</v>
      </c>
      <c r="U358" s="148" t="s">
        <v>765</v>
      </c>
      <c r="V358" s="148" t="s">
        <v>766</v>
      </c>
      <c r="W358" s="149" t="s">
        <v>767</v>
      </c>
    </row>
    <row r="359" spans="2:23" x14ac:dyDescent="0.25">
      <c r="B359" s="84" t="s">
        <v>585</v>
      </c>
      <c r="C359" s="85"/>
      <c r="D359" s="86"/>
      <c r="E359" s="87"/>
      <c r="F359" s="88"/>
      <c r="G359" s="153" t="s">
        <v>679</v>
      </c>
      <c r="H359" s="89"/>
      <c r="I359" s="90">
        <v>24</v>
      </c>
      <c r="J359" s="90">
        <v>14</v>
      </c>
      <c r="K359" s="90">
        <v>0.12</v>
      </c>
      <c r="L359" s="90">
        <v>21</v>
      </c>
      <c r="M359" s="90">
        <v>2.5</v>
      </c>
      <c r="N359" s="90">
        <v>2.5</v>
      </c>
      <c r="O359" s="90">
        <v>1.1000000000000001</v>
      </c>
      <c r="P359" s="91">
        <v>9.6669999999999998</v>
      </c>
      <c r="Q359" s="91">
        <v>11.6</v>
      </c>
      <c r="R359" s="91">
        <v>0.37</v>
      </c>
      <c r="S359" s="91">
        <v>0.65</v>
      </c>
      <c r="T359" s="92">
        <v>0.05</v>
      </c>
      <c r="U359" s="93">
        <v>350</v>
      </c>
      <c r="V359" s="93">
        <v>500</v>
      </c>
      <c r="W359" s="141">
        <v>1</v>
      </c>
    </row>
    <row r="360" spans="2:23" x14ac:dyDescent="0.25">
      <c r="B360" s="185" t="s">
        <v>586</v>
      </c>
      <c r="C360" s="186" t="s">
        <v>598</v>
      </c>
      <c r="D360" s="69"/>
      <c r="E360" s="73"/>
      <c r="F360" s="94"/>
      <c r="G360" s="138" t="s">
        <v>680</v>
      </c>
      <c r="H360" s="75"/>
      <c r="I360" s="95">
        <v>14</v>
      </c>
      <c r="J360" s="95">
        <v>7.2</v>
      </c>
      <c r="K360" s="95">
        <v>0.4</v>
      </c>
      <c r="L360" s="95">
        <v>16</v>
      </c>
      <c r="M360" s="95">
        <v>2</v>
      </c>
      <c r="N360" s="95">
        <v>3</v>
      </c>
      <c r="O360" s="95" t="s">
        <v>722</v>
      </c>
      <c r="P360" s="97">
        <v>4.7</v>
      </c>
      <c r="Q360" s="97">
        <v>7</v>
      </c>
      <c r="R360" s="97">
        <v>0.23</v>
      </c>
      <c r="S360" s="97">
        <v>0.44</v>
      </c>
      <c r="T360" s="98" t="s">
        <v>722</v>
      </c>
      <c r="U360" s="99">
        <v>290</v>
      </c>
      <c r="V360" s="99">
        <v>350</v>
      </c>
      <c r="W360" s="142">
        <v>1</v>
      </c>
    </row>
    <row r="361" spans="2:23" x14ac:dyDescent="0.25">
      <c r="B361" s="185"/>
      <c r="C361" s="186"/>
      <c r="D361" s="69"/>
      <c r="E361" s="73"/>
      <c r="F361" s="94"/>
      <c r="G361" s="138" t="s">
        <v>681</v>
      </c>
      <c r="H361" s="75"/>
      <c r="I361" s="95">
        <v>16</v>
      </c>
      <c r="J361" s="95">
        <v>8.5</v>
      </c>
      <c r="K361" s="95">
        <v>0.4</v>
      </c>
      <c r="L361" s="95">
        <v>17</v>
      </c>
      <c r="M361" s="95">
        <v>2.2000000000000002</v>
      </c>
      <c r="N361" s="95">
        <v>3.2</v>
      </c>
      <c r="O361" s="95" t="s">
        <v>722</v>
      </c>
      <c r="P361" s="97">
        <v>5.4</v>
      </c>
      <c r="Q361" s="97">
        <v>8</v>
      </c>
      <c r="R361" s="97">
        <v>0.27</v>
      </c>
      <c r="S361" s="97">
        <v>0.5</v>
      </c>
      <c r="T361" s="98" t="s">
        <v>722</v>
      </c>
      <c r="U361" s="99">
        <v>310</v>
      </c>
      <c r="V361" s="99">
        <v>370</v>
      </c>
      <c r="W361" s="142">
        <v>1</v>
      </c>
    </row>
    <row r="362" spans="2:23" x14ac:dyDescent="0.25">
      <c r="B362" s="185"/>
      <c r="C362" s="186"/>
      <c r="D362" s="69"/>
      <c r="E362" s="73"/>
      <c r="F362" s="94"/>
      <c r="G362" s="138" t="s">
        <v>682</v>
      </c>
      <c r="H362" s="75"/>
      <c r="I362" s="95">
        <v>18</v>
      </c>
      <c r="J362" s="95">
        <v>10</v>
      </c>
      <c r="K362" s="95">
        <v>0.4</v>
      </c>
      <c r="L362" s="95">
        <v>18</v>
      </c>
      <c r="M362" s="95">
        <v>2.2000000000000002</v>
      </c>
      <c r="N362" s="95">
        <v>3.4</v>
      </c>
      <c r="O362" s="95" t="s">
        <v>722</v>
      </c>
      <c r="P362" s="97">
        <v>6</v>
      </c>
      <c r="Q362" s="97">
        <v>9</v>
      </c>
      <c r="R362" s="97">
        <v>0.3</v>
      </c>
      <c r="S362" s="97">
        <v>0.56000000000000005</v>
      </c>
      <c r="T362" s="98" t="s">
        <v>722</v>
      </c>
      <c r="U362" s="99">
        <v>320</v>
      </c>
      <c r="V362" s="99">
        <v>380</v>
      </c>
      <c r="W362" s="142">
        <v>1</v>
      </c>
    </row>
    <row r="363" spans="2:23" x14ac:dyDescent="0.25">
      <c r="B363" s="185"/>
      <c r="C363" s="186"/>
      <c r="D363" s="69"/>
      <c r="E363" s="73"/>
      <c r="F363" s="94"/>
      <c r="G363" s="138" t="s">
        <v>683</v>
      </c>
      <c r="H363" s="75"/>
      <c r="I363" s="95">
        <v>20</v>
      </c>
      <c r="J363" s="95">
        <v>11.5</v>
      </c>
      <c r="K363" s="95">
        <v>0.4</v>
      </c>
      <c r="L363" s="95">
        <v>19</v>
      </c>
      <c r="M363" s="95">
        <v>2.2999999999999998</v>
      </c>
      <c r="N363" s="95">
        <v>3.6</v>
      </c>
      <c r="O363" s="95" t="s">
        <v>722</v>
      </c>
      <c r="P363" s="97">
        <v>6.4</v>
      </c>
      <c r="Q363" s="97">
        <v>9.5</v>
      </c>
      <c r="R363" s="97">
        <v>0.32</v>
      </c>
      <c r="S363" s="97">
        <v>0.59</v>
      </c>
      <c r="T363" s="98" t="s">
        <v>722</v>
      </c>
      <c r="U363" s="99">
        <v>330</v>
      </c>
      <c r="V363" s="99">
        <v>400</v>
      </c>
      <c r="W363" s="142">
        <v>1</v>
      </c>
    </row>
    <row r="364" spans="2:23" x14ac:dyDescent="0.25">
      <c r="B364" s="185"/>
      <c r="C364" s="186"/>
      <c r="D364" s="69"/>
      <c r="E364" s="73"/>
      <c r="F364" s="94"/>
      <c r="G364" s="138" t="s">
        <v>684</v>
      </c>
      <c r="H364" s="75"/>
      <c r="I364" s="95">
        <v>22</v>
      </c>
      <c r="J364" s="95">
        <v>13</v>
      </c>
      <c r="K364" s="95">
        <v>0.4</v>
      </c>
      <c r="L364" s="95">
        <v>20</v>
      </c>
      <c r="M364" s="95">
        <v>2.4</v>
      </c>
      <c r="N364" s="95">
        <v>3.8</v>
      </c>
      <c r="O364" s="95" t="s">
        <v>722</v>
      </c>
      <c r="P364" s="97">
        <v>6.7</v>
      </c>
      <c r="Q364" s="97">
        <v>10</v>
      </c>
      <c r="R364" s="97">
        <v>0.33</v>
      </c>
      <c r="S364" s="97">
        <v>0.63</v>
      </c>
      <c r="T364" s="98" t="s">
        <v>722</v>
      </c>
      <c r="U364" s="99">
        <v>340</v>
      </c>
      <c r="V364" s="99">
        <v>410</v>
      </c>
      <c r="W364" s="142">
        <v>1</v>
      </c>
    </row>
    <row r="365" spans="2:23" x14ac:dyDescent="0.25">
      <c r="B365" s="185"/>
      <c r="C365" s="186"/>
      <c r="D365" s="69"/>
      <c r="E365" s="73"/>
      <c r="F365" s="94"/>
      <c r="G365" s="138" t="s">
        <v>685</v>
      </c>
      <c r="H365" s="75"/>
      <c r="I365" s="95">
        <v>24</v>
      </c>
      <c r="J365" s="95">
        <v>14.5</v>
      </c>
      <c r="K365" s="95">
        <v>0.4</v>
      </c>
      <c r="L365" s="95">
        <v>21</v>
      </c>
      <c r="M365" s="95">
        <v>2.5</v>
      </c>
      <c r="N365" s="95">
        <v>4</v>
      </c>
      <c r="O365" s="95" t="s">
        <v>722</v>
      </c>
      <c r="P365" s="97">
        <v>7.4</v>
      </c>
      <c r="Q365" s="97">
        <v>11</v>
      </c>
      <c r="R365" s="97">
        <v>0.37</v>
      </c>
      <c r="S365" s="97">
        <v>0.69</v>
      </c>
      <c r="T365" s="98" t="s">
        <v>722</v>
      </c>
      <c r="U365" s="99">
        <v>350</v>
      </c>
      <c r="V365" s="99">
        <v>420</v>
      </c>
      <c r="W365" s="142">
        <v>1</v>
      </c>
    </row>
    <row r="366" spans="2:23" x14ac:dyDescent="0.25">
      <c r="B366" s="185"/>
      <c r="C366" s="186"/>
      <c r="D366" s="69"/>
      <c r="E366" s="73"/>
      <c r="F366" s="94"/>
      <c r="G366" s="138" t="s">
        <v>686</v>
      </c>
      <c r="H366" s="75"/>
      <c r="I366" s="95">
        <v>27</v>
      </c>
      <c r="J366" s="95">
        <v>16.5</v>
      </c>
      <c r="K366" s="95">
        <v>0.4</v>
      </c>
      <c r="L366" s="95">
        <v>22</v>
      </c>
      <c r="M366" s="95">
        <v>2.5</v>
      </c>
      <c r="N366" s="95">
        <v>4</v>
      </c>
      <c r="O366" s="95" t="s">
        <v>722</v>
      </c>
      <c r="P366" s="97">
        <v>7.7</v>
      </c>
      <c r="Q366" s="97">
        <v>11.5</v>
      </c>
      <c r="R366" s="97">
        <v>0.38</v>
      </c>
      <c r="S366" s="97">
        <v>0.72</v>
      </c>
      <c r="T366" s="98" t="s">
        <v>722</v>
      </c>
      <c r="U366" s="99">
        <v>360</v>
      </c>
      <c r="V366" s="99">
        <v>430</v>
      </c>
      <c r="W366" s="142">
        <v>1</v>
      </c>
    </row>
    <row r="367" spans="2:23" x14ac:dyDescent="0.25">
      <c r="B367" s="185"/>
      <c r="C367" s="186"/>
      <c r="D367" s="69"/>
      <c r="E367" s="73"/>
      <c r="F367" s="94"/>
      <c r="G367" s="138" t="s">
        <v>687</v>
      </c>
      <c r="H367" s="75"/>
      <c r="I367" s="95">
        <v>30</v>
      </c>
      <c r="J367" s="95">
        <v>19</v>
      </c>
      <c r="K367" s="95">
        <v>0.4</v>
      </c>
      <c r="L367" s="95">
        <v>24</v>
      </c>
      <c r="M367" s="95">
        <v>2.7</v>
      </c>
      <c r="N367" s="95">
        <v>4</v>
      </c>
      <c r="O367" s="95" t="s">
        <v>722</v>
      </c>
      <c r="P367" s="97">
        <v>8</v>
      </c>
      <c r="Q367" s="97">
        <v>12</v>
      </c>
      <c r="R367" s="97">
        <v>0.4</v>
      </c>
      <c r="S367" s="97">
        <v>0.75</v>
      </c>
      <c r="T367" s="98" t="s">
        <v>722</v>
      </c>
      <c r="U367" s="99">
        <v>380</v>
      </c>
      <c r="V367" s="99">
        <v>460</v>
      </c>
      <c r="W367" s="142">
        <v>1</v>
      </c>
    </row>
    <row r="368" spans="2:23" x14ac:dyDescent="0.25">
      <c r="B368" s="185"/>
      <c r="C368" s="186"/>
      <c r="D368" s="69"/>
      <c r="E368" s="73"/>
      <c r="F368" s="94"/>
      <c r="G368" s="138" t="s">
        <v>688</v>
      </c>
      <c r="H368" s="75"/>
      <c r="I368" s="95">
        <v>35</v>
      </c>
      <c r="J368" s="95">
        <v>22.5</v>
      </c>
      <c r="K368" s="95">
        <v>0.4</v>
      </c>
      <c r="L368" s="95">
        <v>25</v>
      </c>
      <c r="M368" s="95">
        <v>2.7</v>
      </c>
      <c r="N368" s="95">
        <v>4</v>
      </c>
      <c r="O368" s="95" t="s">
        <v>722</v>
      </c>
      <c r="P368" s="97">
        <v>8.6999999999999993</v>
      </c>
      <c r="Q368" s="97">
        <v>13</v>
      </c>
      <c r="R368" s="97">
        <v>0.43</v>
      </c>
      <c r="S368" s="97">
        <v>0.81</v>
      </c>
      <c r="T368" s="98" t="s">
        <v>722</v>
      </c>
      <c r="U368" s="99">
        <v>390</v>
      </c>
      <c r="V368" s="99">
        <v>470</v>
      </c>
      <c r="W368" s="142">
        <v>1</v>
      </c>
    </row>
    <row r="369" spans="2:23" x14ac:dyDescent="0.25">
      <c r="B369" s="185"/>
      <c r="C369" s="186"/>
      <c r="D369" s="69"/>
      <c r="E369" s="73"/>
      <c r="F369" s="94"/>
      <c r="G369" s="138" t="s">
        <v>689</v>
      </c>
      <c r="H369" s="75"/>
      <c r="I369" s="95">
        <v>40</v>
      </c>
      <c r="J369" s="95">
        <v>26</v>
      </c>
      <c r="K369" s="95">
        <v>0.4</v>
      </c>
      <c r="L369" s="95">
        <v>27</v>
      </c>
      <c r="M369" s="95">
        <v>2.8</v>
      </c>
      <c r="N369" s="95">
        <v>4</v>
      </c>
      <c r="O369" s="95" t="s">
        <v>722</v>
      </c>
      <c r="P369" s="97">
        <v>9.4</v>
      </c>
      <c r="Q369" s="97">
        <v>14</v>
      </c>
      <c r="R369" s="97">
        <v>0.47</v>
      </c>
      <c r="S369" s="97">
        <v>0.88</v>
      </c>
      <c r="T369" s="98" t="s">
        <v>722</v>
      </c>
      <c r="U369" s="99">
        <v>400</v>
      </c>
      <c r="V369" s="99">
        <v>480</v>
      </c>
      <c r="W369" s="142">
        <v>1</v>
      </c>
    </row>
    <row r="370" spans="2:23" x14ac:dyDescent="0.25">
      <c r="B370" s="185"/>
      <c r="C370" s="186"/>
      <c r="D370" s="69"/>
      <c r="E370" s="73"/>
      <c r="F370" s="94"/>
      <c r="G370" s="138" t="s">
        <v>690</v>
      </c>
      <c r="H370" s="75"/>
      <c r="I370" s="95">
        <v>45</v>
      </c>
      <c r="J370" s="95">
        <v>30</v>
      </c>
      <c r="K370" s="95">
        <v>0.4</v>
      </c>
      <c r="L370" s="95">
        <v>29</v>
      </c>
      <c r="M370" s="95">
        <v>2.9</v>
      </c>
      <c r="N370" s="95">
        <v>4</v>
      </c>
      <c r="O370" s="95" t="s">
        <v>722</v>
      </c>
      <c r="P370" s="97">
        <v>10.1</v>
      </c>
      <c r="Q370" s="97">
        <v>15</v>
      </c>
      <c r="R370" s="97">
        <v>0.5</v>
      </c>
      <c r="S370" s="97">
        <v>0.94</v>
      </c>
      <c r="T370" s="98" t="s">
        <v>722</v>
      </c>
      <c r="U370" s="99">
        <v>410</v>
      </c>
      <c r="V370" s="99">
        <v>490</v>
      </c>
      <c r="W370" s="142">
        <v>1</v>
      </c>
    </row>
    <row r="371" spans="2:23" x14ac:dyDescent="0.25">
      <c r="B371" s="185"/>
      <c r="C371" s="186"/>
      <c r="D371" s="69"/>
      <c r="E371" s="73"/>
      <c r="F371" s="94"/>
      <c r="G371" s="138" t="s">
        <v>691</v>
      </c>
      <c r="H371" s="75"/>
      <c r="I371" s="95">
        <v>50</v>
      </c>
      <c r="J371" s="95">
        <v>33.5</v>
      </c>
      <c r="K371" s="95">
        <v>0.4</v>
      </c>
      <c r="L371" s="95">
        <v>30</v>
      </c>
      <c r="M371" s="95">
        <v>3</v>
      </c>
      <c r="N371" s="95">
        <v>4</v>
      </c>
      <c r="O371" s="95" t="s">
        <v>722</v>
      </c>
      <c r="P371" s="97">
        <v>10.7</v>
      </c>
      <c r="Q371" s="97">
        <v>16</v>
      </c>
      <c r="R371" s="97">
        <v>0.53</v>
      </c>
      <c r="S371" s="97">
        <v>1</v>
      </c>
      <c r="T371" s="98" t="s">
        <v>722</v>
      </c>
      <c r="U371" s="99">
        <v>430</v>
      </c>
      <c r="V371" s="99">
        <v>520</v>
      </c>
      <c r="W371" s="142">
        <v>1</v>
      </c>
    </row>
    <row r="372" spans="2:23" x14ac:dyDescent="0.25">
      <c r="B372" s="185"/>
      <c r="C372" s="186" t="s">
        <v>599</v>
      </c>
      <c r="D372" s="69"/>
      <c r="E372" s="73"/>
      <c r="F372" s="94"/>
      <c r="G372" s="138" t="s">
        <v>692</v>
      </c>
      <c r="H372" s="75"/>
      <c r="I372" s="95">
        <v>18</v>
      </c>
      <c r="J372" s="95">
        <v>11</v>
      </c>
      <c r="K372" s="95">
        <v>0.6</v>
      </c>
      <c r="L372" s="95">
        <v>18</v>
      </c>
      <c r="M372" s="95">
        <v>4.8</v>
      </c>
      <c r="N372" s="95">
        <v>3.5</v>
      </c>
      <c r="O372" s="95" t="s">
        <v>722</v>
      </c>
      <c r="P372" s="97">
        <v>8</v>
      </c>
      <c r="Q372" s="97">
        <v>9.5</v>
      </c>
      <c r="R372" s="97">
        <v>0.64</v>
      </c>
      <c r="S372" s="97">
        <v>0.59</v>
      </c>
      <c r="T372" s="98" t="s">
        <v>722</v>
      </c>
      <c r="U372" s="99">
        <v>475</v>
      </c>
      <c r="V372" s="99">
        <v>570</v>
      </c>
      <c r="W372" s="142">
        <v>1</v>
      </c>
    </row>
    <row r="373" spans="2:23" x14ac:dyDescent="0.25">
      <c r="B373" s="185"/>
      <c r="C373" s="186"/>
      <c r="D373" s="69"/>
      <c r="E373" s="73"/>
      <c r="F373" s="94"/>
      <c r="G373" s="138" t="s">
        <v>693</v>
      </c>
      <c r="H373" s="75"/>
      <c r="I373" s="95">
        <v>24</v>
      </c>
      <c r="J373" s="95">
        <v>14</v>
      </c>
      <c r="K373" s="95">
        <v>0.6</v>
      </c>
      <c r="L373" s="95">
        <v>21</v>
      </c>
      <c r="M373" s="95">
        <v>4.9000000000000004</v>
      </c>
      <c r="N373" s="95">
        <v>3.7</v>
      </c>
      <c r="O373" s="95" t="s">
        <v>722</v>
      </c>
      <c r="P373" s="97">
        <v>8.4</v>
      </c>
      <c r="Q373" s="97">
        <v>10</v>
      </c>
      <c r="R373" s="97">
        <v>0.67</v>
      </c>
      <c r="S373" s="97">
        <v>0.63</v>
      </c>
      <c r="T373" s="98" t="s">
        <v>722</v>
      </c>
      <c r="U373" s="99">
        <v>485</v>
      </c>
      <c r="V373" s="99">
        <v>580</v>
      </c>
      <c r="W373" s="142">
        <v>1</v>
      </c>
    </row>
    <row r="374" spans="2:23" x14ac:dyDescent="0.25">
      <c r="B374" s="185"/>
      <c r="C374" s="186"/>
      <c r="D374" s="69"/>
      <c r="E374" s="73"/>
      <c r="F374" s="94"/>
      <c r="G374" s="138" t="s">
        <v>694</v>
      </c>
      <c r="H374" s="75"/>
      <c r="I374" s="95">
        <v>30</v>
      </c>
      <c r="J374" s="95">
        <v>18</v>
      </c>
      <c r="K374" s="95">
        <v>0.6</v>
      </c>
      <c r="L374" s="95">
        <v>24</v>
      </c>
      <c r="M374" s="95">
        <v>5.3</v>
      </c>
      <c r="N374" s="95">
        <v>3.9</v>
      </c>
      <c r="O374" s="95" t="s">
        <v>722</v>
      </c>
      <c r="P374" s="97">
        <v>9.1999999999999993</v>
      </c>
      <c r="Q374" s="97">
        <v>11</v>
      </c>
      <c r="R374" s="97">
        <v>0.73</v>
      </c>
      <c r="S374" s="97">
        <v>0.69</v>
      </c>
      <c r="T374" s="98" t="s">
        <v>722</v>
      </c>
      <c r="U374" s="99">
        <v>530</v>
      </c>
      <c r="V374" s="99">
        <v>640</v>
      </c>
      <c r="W374" s="142">
        <v>1</v>
      </c>
    </row>
    <row r="375" spans="2:23" x14ac:dyDescent="0.25">
      <c r="B375" s="185"/>
      <c r="C375" s="186"/>
      <c r="D375" s="69"/>
      <c r="E375" s="73"/>
      <c r="F375" s="94"/>
      <c r="G375" s="138" t="s">
        <v>695</v>
      </c>
      <c r="H375" s="75"/>
      <c r="I375" s="95">
        <v>35</v>
      </c>
      <c r="J375" s="95">
        <v>21</v>
      </c>
      <c r="K375" s="95">
        <v>0.6</v>
      </c>
      <c r="L375" s="95">
        <v>25</v>
      </c>
      <c r="M375" s="95">
        <v>5.4</v>
      </c>
      <c r="N375" s="95">
        <v>4.0999999999999996</v>
      </c>
      <c r="O375" s="95" t="s">
        <v>722</v>
      </c>
      <c r="P375" s="97">
        <v>10.1</v>
      </c>
      <c r="Q375" s="97">
        <v>12</v>
      </c>
      <c r="R375" s="97">
        <v>0.8</v>
      </c>
      <c r="S375" s="97">
        <v>0.75</v>
      </c>
      <c r="T375" s="98" t="s">
        <v>722</v>
      </c>
      <c r="U375" s="99">
        <v>540</v>
      </c>
      <c r="V375" s="99">
        <v>650</v>
      </c>
      <c r="W375" s="142">
        <v>1</v>
      </c>
    </row>
    <row r="376" spans="2:23" x14ac:dyDescent="0.25">
      <c r="B376" s="185"/>
      <c r="C376" s="186"/>
      <c r="D376" s="69"/>
      <c r="E376" s="73"/>
      <c r="F376" s="94"/>
      <c r="G376" s="138" t="s">
        <v>696</v>
      </c>
      <c r="H376" s="75"/>
      <c r="I376" s="95">
        <v>40</v>
      </c>
      <c r="J376" s="95">
        <v>24</v>
      </c>
      <c r="K376" s="95">
        <v>0.6</v>
      </c>
      <c r="L376" s="95">
        <v>27</v>
      </c>
      <c r="M376" s="95">
        <v>5.5</v>
      </c>
      <c r="N376" s="95">
        <v>4.2</v>
      </c>
      <c r="O376" s="95" t="s">
        <v>722</v>
      </c>
      <c r="P376" s="97">
        <v>10.9</v>
      </c>
      <c r="Q376" s="97">
        <v>13</v>
      </c>
      <c r="R376" s="97">
        <v>0.87</v>
      </c>
      <c r="S376" s="97">
        <v>0.81</v>
      </c>
      <c r="T376" s="98" t="s">
        <v>722</v>
      </c>
      <c r="U376" s="99">
        <v>550</v>
      </c>
      <c r="V376" s="99">
        <v>660</v>
      </c>
      <c r="W376" s="142">
        <v>1</v>
      </c>
    </row>
    <row r="377" spans="2:23" x14ac:dyDescent="0.25">
      <c r="B377" s="185"/>
      <c r="C377" s="186"/>
      <c r="D377" s="69"/>
      <c r="E377" s="73"/>
      <c r="F377" s="94"/>
      <c r="G377" s="138" t="s">
        <v>697</v>
      </c>
      <c r="H377" s="75"/>
      <c r="I377" s="95">
        <v>50</v>
      </c>
      <c r="J377" s="95">
        <v>30</v>
      </c>
      <c r="K377" s="95">
        <v>0.6</v>
      </c>
      <c r="L377" s="95">
        <v>30</v>
      </c>
      <c r="M377" s="95">
        <v>6.2</v>
      </c>
      <c r="N377" s="95">
        <v>4.5</v>
      </c>
      <c r="O377" s="95" t="s">
        <v>722</v>
      </c>
      <c r="P377" s="97">
        <v>11.8</v>
      </c>
      <c r="Q377" s="97">
        <v>14</v>
      </c>
      <c r="R377" s="97">
        <v>0.93</v>
      </c>
      <c r="S377" s="97">
        <v>0.88</v>
      </c>
      <c r="T377" s="98" t="s">
        <v>722</v>
      </c>
      <c r="U377" s="99">
        <v>620</v>
      </c>
      <c r="V377" s="99">
        <v>740</v>
      </c>
      <c r="W377" s="142">
        <v>1</v>
      </c>
    </row>
    <row r="378" spans="2:23" x14ac:dyDescent="0.25">
      <c r="B378" s="185"/>
      <c r="C378" s="186"/>
      <c r="D378" s="69"/>
      <c r="E378" s="73"/>
      <c r="F378" s="94"/>
      <c r="G378" s="138" t="s">
        <v>698</v>
      </c>
      <c r="H378" s="75"/>
      <c r="I378" s="95">
        <v>60</v>
      </c>
      <c r="J378" s="95">
        <v>36</v>
      </c>
      <c r="K378" s="95">
        <v>0.6</v>
      </c>
      <c r="L378" s="95">
        <v>33</v>
      </c>
      <c r="M378" s="95">
        <v>10.5</v>
      </c>
      <c r="N378" s="95">
        <v>4.8</v>
      </c>
      <c r="O378" s="95" t="s">
        <v>722</v>
      </c>
      <c r="P378" s="97">
        <v>14.3</v>
      </c>
      <c r="Q378" s="97">
        <v>17</v>
      </c>
      <c r="R378" s="97">
        <v>1.1299999999999999</v>
      </c>
      <c r="S378" s="97">
        <v>1.06</v>
      </c>
      <c r="T378" s="98" t="s">
        <v>722</v>
      </c>
      <c r="U378" s="99">
        <v>700</v>
      </c>
      <c r="V378" s="99">
        <v>840</v>
      </c>
      <c r="W378" s="142">
        <v>1</v>
      </c>
    </row>
    <row r="379" spans="2:23" x14ac:dyDescent="0.25">
      <c r="B379" s="185"/>
      <c r="C379" s="186"/>
      <c r="D379" s="69"/>
      <c r="E379" s="73"/>
      <c r="F379" s="94"/>
      <c r="G379" s="138" t="s">
        <v>699</v>
      </c>
      <c r="H379" s="75"/>
      <c r="I379" s="95">
        <v>70</v>
      </c>
      <c r="J379" s="95">
        <v>42</v>
      </c>
      <c r="K379" s="95">
        <v>0.6</v>
      </c>
      <c r="L379" s="95">
        <v>36</v>
      </c>
      <c r="M379" s="95">
        <v>12</v>
      </c>
      <c r="N379" s="95">
        <v>5</v>
      </c>
      <c r="O379" s="95" t="s">
        <v>722</v>
      </c>
      <c r="P379" s="97">
        <v>16.8</v>
      </c>
      <c r="Q379" s="97">
        <v>20</v>
      </c>
      <c r="R379" s="97">
        <v>1.33</v>
      </c>
      <c r="S379" s="97">
        <v>1.25</v>
      </c>
      <c r="T379" s="98" t="s">
        <v>722</v>
      </c>
      <c r="U379" s="99">
        <v>800</v>
      </c>
      <c r="V379" s="99">
        <v>960</v>
      </c>
      <c r="W379" s="142">
        <v>1</v>
      </c>
    </row>
    <row r="380" spans="2:23" x14ac:dyDescent="0.25">
      <c r="B380" s="185" t="s">
        <v>587</v>
      </c>
      <c r="C380" s="186" t="s">
        <v>600</v>
      </c>
      <c r="D380" s="69"/>
      <c r="E380" s="73"/>
      <c r="F380" s="94"/>
      <c r="G380" s="138" t="s">
        <v>700</v>
      </c>
      <c r="H380" s="75"/>
      <c r="I380" s="95">
        <v>20</v>
      </c>
      <c r="J380" s="95">
        <v>16</v>
      </c>
      <c r="K380" s="95">
        <v>0.5</v>
      </c>
      <c r="L380" s="95">
        <v>20</v>
      </c>
      <c r="M380" s="95">
        <v>2.5</v>
      </c>
      <c r="N380" s="95">
        <v>3.5</v>
      </c>
      <c r="O380" s="95">
        <v>1.2</v>
      </c>
      <c r="P380" s="97">
        <v>7</v>
      </c>
      <c r="Q380" s="97">
        <v>8.4</v>
      </c>
      <c r="R380" s="97">
        <v>0.3</v>
      </c>
      <c r="S380" s="97">
        <v>0.65</v>
      </c>
      <c r="T380" s="98">
        <v>6.5000000000000002E-2</v>
      </c>
      <c r="U380" s="99">
        <v>340</v>
      </c>
      <c r="V380" s="99">
        <v>370</v>
      </c>
      <c r="W380" s="142">
        <v>2</v>
      </c>
    </row>
    <row r="381" spans="2:23" x14ac:dyDescent="0.25">
      <c r="B381" s="185"/>
      <c r="C381" s="186"/>
      <c r="D381" s="69"/>
      <c r="E381" s="73"/>
      <c r="F381" s="94"/>
      <c r="G381" s="138" t="s">
        <v>701</v>
      </c>
      <c r="H381" s="75"/>
      <c r="I381" s="95">
        <v>22</v>
      </c>
      <c r="J381" s="95">
        <v>17.600000000000001</v>
      </c>
      <c r="K381" s="95">
        <v>0.5</v>
      </c>
      <c r="L381" s="95">
        <v>22</v>
      </c>
      <c r="M381" s="95">
        <v>2.5</v>
      </c>
      <c r="N381" s="95">
        <v>3.5</v>
      </c>
      <c r="O381" s="95">
        <v>1.2</v>
      </c>
      <c r="P381" s="97">
        <v>8.8000000000000007</v>
      </c>
      <c r="Q381" s="97">
        <v>10.5</v>
      </c>
      <c r="R381" s="97">
        <v>0.3</v>
      </c>
      <c r="S381" s="97">
        <v>0.65</v>
      </c>
      <c r="T381" s="98">
        <v>6.5000000000000002E-2</v>
      </c>
      <c r="U381" s="99">
        <v>370</v>
      </c>
      <c r="V381" s="99">
        <v>410</v>
      </c>
      <c r="W381" s="142">
        <v>2</v>
      </c>
    </row>
    <row r="382" spans="2:23" x14ac:dyDescent="0.25">
      <c r="B382" s="185"/>
      <c r="C382" s="186"/>
      <c r="D382" s="69"/>
      <c r="E382" s="73"/>
      <c r="F382" s="94"/>
      <c r="G382" s="138" t="s">
        <v>702</v>
      </c>
      <c r="H382" s="75"/>
      <c r="I382" s="95">
        <v>24</v>
      </c>
      <c r="J382" s="95">
        <v>19.2</v>
      </c>
      <c r="K382" s="95">
        <v>0.5</v>
      </c>
      <c r="L382" s="95">
        <v>24</v>
      </c>
      <c r="M382" s="95">
        <v>2.5</v>
      </c>
      <c r="N382" s="95">
        <v>3.5</v>
      </c>
      <c r="O382" s="95">
        <v>1.2</v>
      </c>
      <c r="P382" s="97">
        <v>9.6</v>
      </c>
      <c r="Q382" s="97">
        <v>11.5</v>
      </c>
      <c r="R382" s="97">
        <v>0.3</v>
      </c>
      <c r="S382" s="97">
        <v>0.65</v>
      </c>
      <c r="T382" s="98">
        <v>6.5000000000000002E-2</v>
      </c>
      <c r="U382" s="99">
        <v>385</v>
      </c>
      <c r="V382" s="99">
        <v>420</v>
      </c>
      <c r="W382" s="142">
        <v>2</v>
      </c>
    </row>
    <row r="383" spans="2:23" x14ac:dyDescent="0.25">
      <c r="B383" s="185"/>
      <c r="C383" s="186"/>
      <c r="D383" s="69"/>
      <c r="E383" s="73"/>
      <c r="F383" s="94"/>
      <c r="G383" s="138" t="s">
        <v>703</v>
      </c>
      <c r="H383" s="75"/>
      <c r="I383" s="95">
        <v>26</v>
      </c>
      <c r="J383" s="95">
        <v>20.8</v>
      </c>
      <c r="K383" s="95">
        <v>0.5</v>
      </c>
      <c r="L383" s="95">
        <v>26</v>
      </c>
      <c r="M383" s="95">
        <v>2.5</v>
      </c>
      <c r="N383" s="95">
        <v>3.5</v>
      </c>
      <c r="O383" s="95">
        <v>1.2</v>
      </c>
      <c r="P383" s="97">
        <v>10.1</v>
      </c>
      <c r="Q383" s="97">
        <v>12.1</v>
      </c>
      <c r="R383" s="97">
        <v>0.3</v>
      </c>
      <c r="S383" s="97">
        <v>0.65</v>
      </c>
      <c r="T383" s="98">
        <v>6.5000000000000002E-2</v>
      </c>
      <c r="U383" s="99">
        <v>405</v>
      </c>
      <c r="V383" s="99">
        <v>445</v>
      </c>
      <c r="W383" s="142">
        <v>2</v>
      </c>
    </row>
    <row r="384" spans="2:23" x14ac:dyDescent="0.25">
      <c r="B384" s="185"/>
      <c r="C384" s="186"/>
      <c r="D384" s="69"/>
      <c r="E384" s="73"/>
      <c r="F384" s="94"/>
      <c r="G384" s="138" t="s">
        <v>704</v>
      </c>
      <c r="H384" s="75"/>
      <c r="I384" s="95">
        <v>28</v>
      </c>
      <c r="J384" s="95">
        <v>22.4</v>
      </c>
      <c r="K384" s="95">
        <v>0.5</v>
      </c>
      <c r="L384" s="95">
        <v>28</v>
      </c>
      <c r="M384" s="95">
        <v>2.5</v>
      </c>
      <c r="N384" s="95">
        <v>3.5</v>
      </c>
      <c r="O384" s="95">
        <v>1.2</v>
      </c>
      <c r="P384" s="97">
        <v>10.5</v>
      </c>
      <c r="Q384" s="97">
        <v>12.6</v>
      </c>
      <c r="R384" s="97">
        <v>0.3</v>
      </c>
      <c r="S384" s="97">
        <v>0.65</v>
      </c>
      <c r="T384" s="98">
        <v>6.5000000000000002E-2</v>
      </c>
      <c r="U384" s="99">
        <v>425</v>
      </c>
      <c r="V384" s="99">
        <v>460</v>
      </c>
      <c r="W384" s="142">
        <v>2</v>
      </c>
    </row>
    <row r="385" spans="2:23" x14ac:dyDescent="0.25">
      <c r="B385" s="185"/>
      <c r="C385" s="186"/>
      <c r="D385" s="69"/>
      <c r="E385" s="73"/>
      <c r="F385" s="94"/>
      <c r="G385" s="138" t="s">
        <v>705</v>
      </c>
      <c r="H385" s="75"/>
      <c r="I385" s="95">
        <v>30</v>
      </c>
      <c r="J385" s="95">
        <v>24</v>
      </c>
      <c r="K385" s="95">
        <v>0.5</v>
      </c>
      <c r="L385" s="95">
        <v>30</v>
      </c>
      <c r="M385" s="95">
        <v>2.5</v>
      </c>
      <c r="N385" s="95">
        <v>3.5</v>
      </c>
      <c r="O385" s="95">
        <v>1.2</v>
      </c>
      <c r="P385" s="97">
        <v>11.3</v>
      </c>
      <c r="Q385" s="97">
        <v>13.6</v>
      </c>
      <c r="R385" s="97">
        <v>0.3</v>
      </c>
      <c r="S385" s="97">
        <v>0.65</v>
      </c>
      <c r="T385" s="98">
        <v>6.5000000000000002E-2</v>
      </c>
      <c r="U385" s="99">
        <v>430</v>
      </c>
      <c r="V385" s="99">
        <v>480</v>
      </c>
      <c r="W385" s="142">
        <v>2</v>
      </c>
    </row>
    <row r="386" spans="2:23" x14ac:dyDescent="0.25">
      <c r="B386" s="185"/>
      <c r="C386" s="186"/>
      <c r="D386" s="69"/>
      <c r="E386" s="73"/>
      <c r="F386" s="94"/>
      <c r="G386" s="138" t="s">
        <v>706</v>
      </c>
      <c r="H386" s="75"/>
      <c r="I386" s="95">
        <v>32</v>
      </c>
      <c r="J386" s="95">
        <v>25.6</v>
      </c>
      <c r="K386" s="95">
        <v>0.5</v>
      </c>
      <c r="L386" s="95">
        <v>32</v>
      </c>
      <c r="M386" s="95">
        <v>2.5</v>
      </c>
      <c r="N386" s="95">
        <v>3.5</v>
      </c>
      <c r="O386" s="95">
        <v>1.2</v>
      </c>
      <c r="P386" s="97">
        <v>11.8</v>
      </c>
      <c r="Q386" s="97">
        <v>14.2</v>
      </c>
      <c r="R386" s="97">
        <v>0.3</v>
      </c>
      <c r="S386" s="97">
        <v>0.65</v>
      </c>
      <c r="T386" s="98">
        <v>6.5000000000000002E-2</v>
      </c>
      <c r="U386" s="99">
        <v>440</v>
      </c>
      <c r="V386" s="99">
        <v>490</v>
      </c>
      <c r="W386" s="142">
        <v>2</v>
      </c>
    </row>
    <row r="387" spans="2:23" x14ac:dyDescent="0.25">
      <c r="B387" s="185"/>
      <c r="C387" s="186" t="s">
        <v>601</v>
      </c>
      <c r="D387" s="69"/>
      <c r="E387" s="73"/>
      <c r="F387" s="94"/>
      <c r="G387" s="138" t="s">
        <v>707</v>
      </c>
      <c r="H387" s="75"/>
      <c r="I387" s="95">
        <v>20</v>
      </c>
      <c r="J387" s="95">
        <v>15</v>
      </c>
      <c r="K387" s="95">
        <v>0.5</v>
      </c>
      <c r="L387" s="95">
        <v>18.5</v>
      </c>
      <c r="M387" s="95">
        <v>2.5</v>
      </c>
      <c r="N387" s="95">
        <v>3.5</v>
      </c>
      <c r="O387" s="95">
        <v>1.2</v>
      </c>
      <c r="P387" s="97">
        <v>8.6</v>
      </c>
      <c r="Q387" s="97">
        <v>10.4</v>
      </c>
      <c r="R387" s="97">
        <v>0.3</v>
      </c>
      <c r="S387" s="97">
        <v>0.65</v>
      </c>
      <c r="T387" s="98">
        <v>6.5000000000000002E-2</v>
      </c>
      <c r="U387" s="99">
        <v>355</v>
      </c>
      <c r="V387" s="99">
        <v>390</v>
      </c>
      <c r="W387" s="142">
        <v>2</v>
      </c>
    </row>
    <row r="388" spans="2:23" x14ac:dyDescent="0.25">
      <c r="B388" s="185"/>
      <c r="C388" s="186"/>
      <c r="D388" s="69"/>
      <c r="E388" s="73"/>
      <c r="F388" s="94"/>
      <c r="G388" s="138" t="s">
        <v>708</v>
      </c>
      <c r="H388" s="75"/>
      <c r="I388" s="95">
        <v>22</v>
      </c>
      <c r="J388" s="95">
        <v>16</v>
      </c>
      <c r="K388" s="95">
        <v>0.5</v>
      </c>
      <c r="L388" s="95">
        <v>20</v>
      </c>
      <c r="M388" s="95">
        <v>2.5</v>
      </c>
      <c r="N388" s="95">
        <v>3.5</v>
      </c>
      <c r="O388" s="95">
        <v>1.2</v>
      </c>
      <c r="P388" s="97">
        <v>8.6</v>
      </c>
      <c r="Q388" s="97">
        <v>10.4</v>
      </c>
      <c r="R388" s="97">
        <v>0.3</v>
      </c>
      <c r="S388" s="97">
        <v>0.65</v>
      </c>
      <c r="T388" s="98">
        <v>6.5000000000000002E-2</v>
      </c>
      <c r="U388" s="99">
        <v>355</v>
      </c>
      <c r="V388" s="99">
        <v>390</v>
      </c>
      <c r="W388" s="142">
        <v>2</v>
      </c>
    </row>
    <row r="389" spans="2:23" x14ac:dyDescent="0.25">
      <c r="B389" s="185"/>
      <c r="C389" s="186"/>
      <c r="D389" s="69"/>
      <c r="E389" s="73"/>
      <c r="F389" s="94"/>
      <c r="G389" s="138" t="s">
        <v>709</v>
      </c>
      <c r="H389" s="75"/>
      <c r="I389" s="95">
        <v>24</v>
      </c>
      <c r="J389" s="95">
        <v>17</v>
      </c>
      <c r="K389" s="95">
        <v>0.5</v>
      </c>
      <c r="L389" s="95">
        <v>21.5</v>
      </c>
      <c r="M389" s="95">
        <v>2.5</v>
      </c>
      <c r="N389" s="95">
        <v>3.5</v>
      </c>
      <c r="O389" s="95">
        <v>1.2</v>
      </c>
      <c r="P389" s="97">
        <v>9.1</v>
      </c>
      <c r="Q389" s="97">
        <v>11</v>
      </c>
      <c r="R389" s="97">
        <v>0.3</v>
      </c>
      <c r="S389" s="97">
        <v>0.65</v>
      </c>
      <c r="T389" s="98">
        <v>6.5000000000000002E-2</v>
      </c>
      <c r="U389" s="99">
        <v>365</v>
      </c>
      <c r="V389" s="99">
        <v>400</v>
      </c>
      <c r="W389" s="142">
        <v>2</v>
      </c>
    </row>
    <row r="390" spans="2:23" x14ac:dyDescent="0.25">
      <c r="B390" s="185"/>
      <c r="C390" s="186"/>
      <c r="D390" s="69"/>
      <c r="E390" s="73"/>
      <c r="F390" s="94"/>
      <c r="G390" s="138" t="s">
        <v>710</v>
      </c>
      <c r="H390" s="75"/>
      <c r="I390" s="95">
        <v>26</v>
      </c>
      <c r="J390" s="95">
        <v>19</v>
      </c>
      <c r="K390" s="95">
        <v>0.5</v>
      </c>
      <c r="L390" s="95">
        <v>23.5</v>
      </c>
      <c r="M390" s="95">
        <v>2.5</v>
      </c>
      <c r="N390" s="95">
        <v>3.5</v>
      </c>
      <c r="O390" s="95">
        <v>1.2</v>
      </c>
      <c r="P390" s="97">
        <v>10</v>
      </c>
      <c r="Q390" s="97">
        <v>12</v>
      </c>
      <c r="R390" s="97">
        <v>0.3</v>
      </c>
      <c r="S390" s="97">
        <v>0.65</v>
      </c>
      <c r="T390" s="98">
        <v>6.5000000000000002E-2</v>
      </c>
      <c r="U390" s="99">
        <v>385</v>
      </c>
      <c r="V390" s="99">
        <v>420</v>
      </c>
      <c r="W390" s="142">
        <v>2</v>
      </c>
    </row>
    <row r="391" spans="2:23" x14ac:dyDescent="0.25">
      <c r="B391" s="185"/>
      <c r="C391" s="186"/>
      <c r="D391" s="69"/>
      <c r="E391" s="73"/>
      <c r="F391" s="94"/>
      <c r="G391" s="138" t="s">
        <v>711</v>
      </c>
      <c r="H391" s="75"/>
      <c r="I391" s="95">
        <v>28</v>
      </c>
      <c r="J391" s="95">
        <v>19.5</v>
      </c>
      <c r="K391" s="95">
        <v>0.5</v>
      </c>
      <c r="L391" s="95">
        <v>24</v>
      </c>
      <c r="M391" s="95">
        <v>2.5</v>
      </c>
      <c r="N391" s="95">
        <v>3.5</v>
      </c>
      <c r="O391" s="95">
        <v>1.2</v>
      </c>
      <c r="P391" s="97">
        <v>10.4</v>
      </c>
      <c r="Q391" s="97">
        <v>12.5</v>
      </c>
      <c r="R391" s="97">
        <v>0.3</v>
      </c>
      <c r="S391" s="97">
        <v>0.65</v>
      </c>
      <c r="T391" s="98">
        <v>6.5000000000000002E-2</v>
      </c>
      <c r="U391" s="99">
        <v>390</v>
      </c>
      <c r="V391" s="99">
        <v>420</v>
      </c>
      <c r="W391" s="142">
        <v>2</v>
      </c>
    </row>
    <row r="392" spans="2:23" x14ac:dyDescent="0.25">
      <c r="B392" s="185"/>
      <c r="C392" s="186"/>
      <c r="D392" s="69"/>
      <c r="E392" s="73"/>
      <c r="F392" s="94"/>
      <c r="G392" s="138" t="s">
        <v>712</v>
      </c>
      <c r="H392" s="75"/>
      <c r="I392" s="95">
        <v>30</v>
      </c>
      <c r="J392" s="95">
        <v>19.5</v>
      </c>
      <c r="K392" s="95">
        <v>0.5</v>
      </c>
      <c r="L392" s="95">
        <v>24.5</v>
      </c>
      <c r="M392" s="95">
        <v>2.5</v>
      </c>
      <c r="N392" s="95">
        <v>3.5</v>
      </c>
      <c r="O392" s="95">
        <v>1.2</v>
      </c>
      <c r="P392" s="97">
        <v>10.8</v>
      </c>
      <c r="Q392" s="97">
        <v>13</v>
      </c>
      <c r="R392" s="97">
        <v>0.3</v>
      </c>
      <c r="S392" s="97">
        <v>0.65</v>
      </c>
      <c r="T392" s="98">
        <v>6.5000000000000002E-2</v>
      </c>
      <c r="U392" s="99">
        <v>390</v>
      </c>
      <c r="V392" s="99">
        <v>430</v>
      </c>
      <c r="W392" s="142">
        <v>2</v>
      </c>
    </row>
    <row r="393" spans="2:23" x14ac:dyDescent="0.25">
      <c r="B393" s="185"/>
      <c r="C393" s="186"/>
      <c r="D393" s="69"/>
      <c r="E393" s="73"/>
      <c r="F393" s="94"/>
      <c r="G393" s="138" t="s">
        <v>713</v>
      </c>
      <c r="H393" s="75"/>
      <c r="I393" s="95">
        <v>32</v>
      </c>
      <c r="J393" s="95">
        <v>19.5</v>
      </c>
      <c r="K393" s="95">
        <v>0.5</v>
      </c>
      <c r="L393" s="95">
        <v>24.5</v>
      </c>
      <c r="M393" s="95">
        <v>2.5</v>
      </c>
      <c r="N393" s="95">
        <v>3.5</v>
      </c>
      <c r="O393" s="95">
        <v>1.2</v>
      </c>
      <c r="P393" s="97">
        <v>11.2</v>
      </c>
      <c r="Q393" s="97">
        <v>13.5</v>
      </c>
      <c r="R393" s="97">
        <v>0.3</v>
      </c>
      <c r="S393" s="97">
        <v>0.65</v>
      </c>
      <c r="T393" s="98">
        <v>6.5000000000000002E-2</v>
      </c>
      <c r="U393" s="99">
        <v>400</v>
      </c>
      <c r="V393" s="99">
        <v>440</v>
      </c>
      <c r="W393" s="142">
        <v>2</v>
      </c>
    </row>
    <row r="394" spans="2:23" ht="22.5" x14ac:dyDescent="0.25">
      <c r="B394" s="185" t="s">
        <v>588</v>
      </c>
      <c r="C394" s="186" t="s">
        <v>602</v>
      </c>
      <c r="D394" s="69" t="s">
        <v>616</v>
      </c>
      <c r="E394" s="73" t="s">
        <v>668</v>
      </c>
      <c r="F394" s="94" t="s">
        <v>672</v>
      </c>
      <c r="G394" s="138" t="str">
        <f>CONCATENATE("LVL","_",C394,"_",D394,"_",E394,"_",F394)</f>
        <v>LVL_KERTO_S (21-90)_Plat_//</v>
      </c>
      <c r="H394" s="75"/>
      <c r="I394" s="95">
        <v>50</v>
      </c>
      <c r="J394" s="95">
        <v>35</v>
      </c>
      <c r="K394" s="95" t="s">
        <v>722</v>
      </c>
      <c r="L394" s="95">
        <v>35</v>
      </c>
      <c r="M394" s="95">
        <v>1.8</v>
      </c>
      <c r="N394" s="95">
        <v>2.2999999999999998</v>
      </c>
      <c r="O394" s="101" t="s">
        <v>722</v>
      </c>
      <c r="P394" s="97">
        <v>11.6</v>
      </c>
      <c r="Q394" s="97">
        <v>13.8</v>
      </c>
      <c r="R394" s="102" t="s">
        <v>722</v>
      </c>
      <c r="S394" s="97">
        <v>0.6</v>
      </c>
      <c r="T394" s="103" t="s">
        <v>722</v>
      </c>
      <c r="U394" s="100">
        <v>480</v>
      </c>
      <c r="V394" s="100">
        <v>510</v>
      </c>
      <c r="W394" s="142">
        <v>3</v>
      </c>
    </row>
    <row r="395" spans="2:23" ht="22.5" x14ac:dyDescent="0.25">
      <c r="B395" s="185"/>
      <c r="C395" s="186"/>
      <c r="D395" s="69"/>
      <c r="E395" s="104"/>
      <c r="F395" s="105" t="s">
        <v>673</v>
      </c>
      <c r="G395" s="139" t="str">
        <f>CONCATENATE("LVL","_",C394,"_",D394,"_",E394,"_",F395)</f>
        <v>LVL_KERTO_S (21-90)_Plat_┴</v>
      </c>
      <c r="H395" s="106"/>
      <c r="I395" s="107" t="s">
        <v>722</v>
      </c>
      <c r="J395" s="107" t="s">
        <v>722</v>
      </c>
      <c r="K395" s="107" t="s">
        <v>722</v>
      </c>
      <c r="L395" s="107">
        <v>6</v>
      </c>
      <c r="M395" s="107">
        <v>1.8</v>
      </c>
      <c r="N395" s="107" t="s">
        <v>722</v>
      </c>
      <c r="O395" s="107" t="s">
        <v>722</v>
      </c>
      <c r="P395" s="108" t="s">
        <v>722</v>
      </c>
      <c r="Q395" s="108" t="s">
        <v>722</v>
      </c>
      <c r="R395" s="109">
        <f>Q394</f>
        <v>13.8</v>
      </c>
      <c r="S395" s="108" t="s">
        <v>722</v>
      </c>
      <c r="T395" s="110" t="s">
        <v>722</v>
      </c>
      <c r="U395" s="111">
        <v>480</v>
      </c>
      <c r="V395" s="111">
        <v>510</v>
      </c>
      <c r="W395" s="143">
        <v>3</v>
      </c>
    </row>
    <row r="396" spans="2:23" ht="22.5" x14ac:dyDescent="0.25">
      <c r="B396" s="185"/>
      <c r="C396" s="186"/>
      <c r="D396" s="69"/>
      <c r="E396" s="73" t="s">
        <v>669</v>
      </c>
      <c r="F396" s="94" t="s">
        <v>672</v>
      </c>
      <c r="G396" s="138" t="str">
        <f>CONCATENATE("LVL","_",C394,"_",D394,"_",E396,"_",F396)</f>
        <v>LVL_KERTO_S (21-90)_Chant_//</v>
      </c>
      <c r="H396" s="75"/>
      <c r="I396" s="95">
        <v>44</v>
      </c>
      <c r="J396" s="112">
        <f>J394</f>
        <v>35</v>
      </c>
      <c r="K396" s="112">
        <f>J397</f>
        <v>0.8</v>
      </c>
      <c r="L396" s="112">
        <f>L394</f>
        <v>35</v>
      </c>
      <c r="M396" s="112">
        <f>L395</f>
        <v>6</v>
      </c>
      <c r="N396" s="95">
        <v>4.0999999999999996</v>
      </c>
      <c r="O396" s="101" t="s">
        <v>722</v>
      </c>
      <c r="P396" s="113">
        <f>P394</f>
        <v>11.6</v>
      </c>
      <c r="Q396" s="113">
        <f>Q394</f>
        <v>13.8</v>
      </c>
      <c r="R396" s="114">
        <v>0.43</v>
      </c>
      <c r="S396" s="97">
        <v>0.6</v>
      </c>
      <c r="T396" s="103" t="s">
        <v>722</v>
      </c>
      <c r="U396" s="100">
        <v>480</v>
      </c>
      <c r="V396" s="100">
        <v>510</v>
      </c>
      <c r="W396" s="142">
        <v>3</v>
      </c>
    </row>
    <row r="397" spans="2:23" ht="22.5" x14ac:dyDescent="0.25">
      <c r="B397" s="185"/>
      <c r="C397" s="186"/>
      <c r="D397" s="69"/>
      <c r="E397" s="73"/>
      <c r="F397" s="105" t="s">
        <v>673</v>
      </c>
      <c r="G397" s="139" t="str">
        <f>CONCATENATE("LVL","_",C394,"_",D394,"_",E396,"_",F397)</f>
        <v>LVL_KERTO_S (21-90)_Chant_┴</v>
      </c>
      <c r="H397" s="75"/>
      <c r="I397" s="107" t="s">
        <v>722</v>
      </c>
      <c r="J397" s="107">
        <v>0.8</v>
      </c>
      <c r="K397" s="107">
        <f>J394</f>
        <v>35</v>
      </c>
      <c r="L397" s="107">
        <f>L395</f>
        <v>6</v>
      </c>
      <c r="M397" s="107">
        <f>L394</f>
        <v>35</v>
      </c>
      <c r="N397" s="107">
        <v>4.0999999999999996</v>
      </c>
      <c r="O397" s="107" t="s">
        <v>722</v>
      </c>
      <c r="P397" s="108" t="s">
        <v>722</v>
      </c>
      <c r="Q397" s="108" t="s">
        <v>722</v>
      </c>
      <c r="R397" s="109" t="s">
        <v>722</v>
      </c>
      <c r="S397" s="108" t="s">
        <v>722</v>
      </c>
      <c r="T397" s="110" t="s">
        <v>722</v>
      </c>
      <c r="U397" s="111">
        <v>480</v>
      </c>
      <c r="V397" s="111">
        <v>510</v>
      </c>
      <c r="W397" s="143">
        <v>3</v>
      </c>
    </row>
    <row r="398" spans="2:23" ht="22.5" x14ac:dyDescent="0.25">
      <c r="B398" s="185"/>
      <c r="C398" s="186"/>
      <c r="D398" s="69" t="s">
        <v>617</v>
      </c>
      <c r="E398" s="73" t="s">
        <v>668</v>
      </c>
      <c r="F398" s="94" t="s">
        <v>672</v>
      </c>
      <c r="G398" s="138" t="str">
        <f>CONCATENATE("LVL","_",C394,"_",D398,"_",E398,"_",F398)</f>
        <v>LVL_KERTO_Q (21-24)_Plat_//</v>
      </c>
      <c r="H398" s="75"/>
      <c r="I398" s="95">
        <v>32</v>
      </c>
      <c r="J398" s="95">
        <v>19</v>
      </c>
      <c r="K398" s="95" t="s">
        <v>722</v>
      </c>
      <c r="L398" s="95">
        <v>19</v>
      </c>
      <c r="M398" s="95">
        <v>2.2000000000000002</v>
      </c>
      <c r="N398" s="95">
        <v>1.3</v>
      </c>
      <c r="O398" s="101" t="s">
        <v>722</v>
      </c>
      <c r="P398" s="97">
        <v>8.3000000000000007</v>
      </c>
      <c r="Q398" s="97">
        <v>10</v>
      </c>
      <c r="R398" s="114">
        <v>1.2</v>
      </c>
      <c r="S398" s="97">
        <v>0.06</v>
      </c>
      <c r="T398" s="103" t="s">
        <v>722</v>
      </c>
      <c r="U398" s="100">
        <v>480</v>
      </c>
      <c r="V398" s="100">
        <v>510</v>
      </c>
      <c r="W398" s="142">
        <v>3</v>
      </c>
    </row>
    <row r="399" spans="2:23" ht="22.5" x14ac:dyDescent="0.25">
      <c r="B399" s="185"/>
      <c r="C399" s="186"/>
      <c r="D399" s="69"/>
      <c r="E399" s="73"/>
      <c r="F399" s="94" t="s">
        <v>673</v>
      </c>
      <c r="G399" s="138" t="str">
        <f>CONCATENATE("LVL","_",C394,"_",D398,"_",E398,"_",F399)</f>
        <v>LVL_KERTO_Q (21-24)_Plat_┴</v>
      </c>
      <c r="H399" s="75"/>
      <c r="I399" s="95">
        <v>8</v>
      </c>
      <c r="J399" s="101" t="s">
        <v>722</v>
      </c>
      <c r="K399" s="95">
        <v>19</v>
      </c>
      <c r="L399" s="95">
        <v>9</v>
      </c>
      <c r="M399" s="95">
        <v>2.2000000000000002</v>
      </c>
      <c r="N399" s="101">
        <v>0.6</v>
      </c>
      <c r="O399" s="101" t="s">
        <v>722</v>
      </c>
      <c r="P399" s="97">
        <v>1</v>
      </c>
      <c r="Q399" s="97">
        <v>1.2</v>
      </c>
      <c r="R399" s="115">
        <f>Q398</f>
        <v>10</v>
      </c>
      <c r="S399" s="97" t="s">
        <v>722</v>
      </c>
      <c r="T399" s="103" t="s">
        <v>722</v>
      </c>
      <c r="U399" s="100">
        <v>480</v>
      </c>
      <c r="V399" s="100">
        <v>510</v>
      </c>
      <c r="W399" s="142">
        <v>3</v>
      </c>
    </row>
    <row r="400" spans="2:23" ht="22.5" x14ac:dyDescent="0.25">
      <c r="B400" s="185"/>
      <c r="C400" s="186"/>
      <c r="D400" s="69"/>
      <c r="E400" s="73" t="s">
        <v>669</v>
      </c>
      <c r="F400" s="94" t="s">
        <v>672</v>
      </c>
      <c r="G400" s="138" t="str">
        <f>CONCATENATE("LVL","_",C394,"_",D398,"_",E400,"_",F400)</f>
        <v>LVL_KERTO_Q (21-24)_Chant_//</v>
      </c>
      <c r="H400" s="75"/>
      <c r="I400" s="95">
        <v>28</v>
      </c>
      <c r="J400" s="112">
        <f>J398</f>
        <v>19</v>
      </c>
      <c r="K400" s="112">
        <f>J401</f>
        <v>6</v>
      </c>
      <c r="L400" s="112">
        <f>L398</f>
        <v>19</v>
      </c>
      <c r="M400" s="112">
        <f>L399</f>
        <v>9</v>
      </c>
      <c r="N400" s="95">
        <v>4.5</v>
      </c>
      <c r="O400" s="101" t="s">
        <v>722</v>
      </c>
      <c r="P400" s="113">
        <f>P398</f>
        <v>8.3000000000000007</v>
      </c>
      <c r="Q400" s="113">
        <f>Q398</f>
        <v>10</v>
      </c>
      <c r="R400" s="114">
        <v>2.4</v>
      </c>
      <c r="S400" s="97">
        <v>0.6</v>
      </c>
      <c r="T400" s="103" t="s">
        <v>722</v>
      </c>
      <c r="U400" s="100">
        <v>480</v>
      </c>
      <c r="V400" s="100">
        <v>510</v>
      </c>
      <c r="W400" s="142">
        <v>3</v>
      </c>
    </row>
    <row r="401" spans="2:23" ht="22.5" x14ac:dyDescent="0.25">
      <c r="B401" s="185"/>
      <c r="C401" s="186"/>
      <c r="D401" s="69"/>
      <c r="E401" s="73"/>
      <c r="F401" s="94" t="s">
        <v>673</v>
      </c>
      <c r="G401" s="138" t="str">
        <f>CONCATENATE("LVL","_",C394,"_",D398,"_",E400,"_",F401)</f>
        <v>LVL_KERTO_Q (21-24)_Chant_┴</v>
      </c>
      <c r="H401" s="75"/>
      <c r="I401" s="95" t="s">
        <v>722</v>
      </c>
      <c r="J401" s="101">
        <v>6</v>
      </c>
      <c r="K401" s="112">
        <f>J398</f>
        <v>19</v>
      </c>
      <c r="L401" s="112">
        <f>L399</f>
        <v>9</v>
      </c>
      <c r="M401" s="112">
        <f>L398</f>
        <v>19</v>
      </c>
      <c r="N401" s="95">
        <v>4.5</v>
      </c>
      <c r="O401" s="101" t="s">
        <v>722</v>
      </c>
      <c r="P401" s="97" t="s">
        <v>722</v>
      </c>
      <c r="Q401" s="97" t="s">
        <v>722</v>
      </c>
      <c r="R401" s="114" t="s">
        <v>722</v>
      </c>
      <c r="S401" s="116" t="s">
        <v>722</v>
      </c>
      <c r="T401" s="103" t="s">
        <v>722</v>
      </c>
      <c r="U401" s="100">
        <v>480</v>
      </c>
      <c r="V401" s="100">
        <v>510</v>
      </c>
      <c r="W401" s="142">
        <v>3</v>
      </c>
    </row>
    <row r="402" spans="2:23" ht="22.5" x14ac:dyDescent="0.25">
      <c r="B402" s="185"/>
      <c r="C402" s="186"/>
      <c r="D402" s="69" t="s">
        <v>618</v>
      </c>
      <c r="E402" s="73" t="s">
        <v>668</v>
      </c>
      <c r="F402" s="94" t="s">
        <v>672</v>
      </c>
      <c r="G402" s="138" t="str">
        <f>CONCATENATE("LVL","_",C394,"_",D402,"_",E402,"_",F402)</f>
        <v>LVL_KERTO_Q (27-75)_Plat_//</v>
      </c>
      <c r="H402" s="75"/>
      <c r="I402" s="95">
        <v>36</v>
      </c>
      <c r="J402" s="95">
        <v>26</v>
      </c>
      <c r="K402" s="95" t="s">
        <v>722</v>
      </c>
      <c r="L402" s="95">
        <v>26</v>
      </c>
      <c r="M402" s="95">
        <v>2.2000000000000002</v>
      </c>
      <c r="N402" s="95">
        <v>1.3</v>
      </c>
      <c r="O402" s="101" t="s">
        <v>722</v>
      </c>
      <c r="P402" s="97">
        <v>8.8000000000000007</v>
      </c>
      <c r="Q402" s="97">
        <v>10.5</v>
      </c>
      <c r="R402" s="114">
        <v>2</v>
      </c>
      <c r="S402" s="97">
        <v>0.12</v>
      </c>
      <c r="T402" s="103" t="s">
        <v>722</v>
      </c>
      <c r="U402" s="100">
        <v>480</v>
      </c>
      <c r="V402" s="100">
        <v>510</v>
      </c>
      <c r="W402" s="142">
        <v>3</v>
      </c>
    </row>
    <row r="403" spans="2:23" ht="22.5" x14ac:dyDescent="0.25">
      <c r="B403" s="185"/>
      <c r="C403" s="186"/>
      <c r="D403" s="69"/>
      <c r="E403" s="73"/>
      <c r="F403" s="94" t="s">
        <v>673</v>
      </c>
      <c r="G403" s="138" t="str">
        <f>CONCATENATE("LVL","_",C394,"_",D402,"_",E402,"_",F403)</f>
        <v>LVL_KERTO_Q (27-75)_Plat_┴</v>
      </c>
      <c r="H403" s="75"/>
      <c r="I403" s="95">
        <v>8</v>
      </c>
      <c r="J403" s="101" t="s">
        <v>722</v>
      </c>
      <c r="K403" s="95">
        <v>26</v>
      </c>
      <c r="L403" s="95">
        <v>9</v>
      </c>
      <c r="M403" s="95">
        <v>2.2000000000000002</v>
      </c>
      <c r="N403" s="101">
        <v>0.6</v>
      </c>
      <c r="O403" s="101" t="s">
        <v>722</v>
      </c>
      <c r="P403" s="97">
        <v>1.7</v>
      </c>
      <c r="Q403" s="97">
        <v>2</v>
      </c>
      <c r="R403" s="115">
        <f>Q402</f>
        <v>10.5</v>
      </c>
      <c r="S403" s="97" t="s">
        <v>722</v>
      </c>
      <c r="T403" s="103" t="s">
        <v>722</v>
      </c>
      <c r="U403" s="100">
        <v>480</v>
      </c>
      <c r="V403" s="100">
        <v>510</v>
      </c>
      <c r="W403" s="142">
        <v>3</v>
      </c>
    </row>
    <row r="404" spans="2:23" ht="22.5" x14ac:dyDescent="0.25">
      <c r="B404" s="185"/>
      <c r="C404" s="186"/>
      <c r="D404" s="69"/>
      <c r="E404" s="73" t="s">
        <v>669</v>
      </c>
      <c r="F404" s="94" t="s">
        <v>672</v>
      </c>
      <c r="G404" s="138" t="str">
        <f>CONCATENATE("LVL","_",C394,"_",D402,"_",E404,"_",F404)</f>
        <v>LVL_KERTO_Q (27-75)_Chant_//</v>
      </c>
      <c r="H404" s="75"/>
      <c r="I404" s="95">
        <v>32</v>
      </c>
      <c r="J404" s="112">
        <f>J402</f>
        <v>26</v>
      </c>
      <c r="K404" s="112">
        <f>J405</f>
        <v>6</v>
      </c>
      <c r="L404" s="112">
        <f>L402</f>
        <v>26</v>
      </c>
      <c r="M404" s="112">
        <f>L403</f>
        <v>9</v>
      </c>
      <c r="N404" s="95">
        <v>4.5</v>
      </c>
      <c r="O404" s="101" t="s">
        <v>722</v>
      </c>
      <c r="P404" s="113">
        <f>P402</f>
        <v>8.8000000000000007</v>
      </c>
      <c r="Q404" s="113">
        <f>Q402</f>
        <v>10.5</v>
      </c>
      <c r="R404" s="114">
        <v>2.4</v>
      </c>
      <c r="S404" s="97">
        <v>0.6</v>
      </c>
      <c r="T404" s="103" t="s">
        <v>722</v>
      </c>
      <c r="U404" s="100">
        <v>480</v>
      </c>
      <c r="V404" s="100">
        <v>510</v>
      </c>
      <c r="W404" s="142">
        <v>3</v>
      </c>
    </row>
    <row r="405" spans="2:23" ht="22.5" x14ac:dyDescent="0.25">
      <c r="B405" s="185"/>
      <c r="C405" s="186"/>
      <c r="D405" s="69"/>
      <c r="E405" s="73"/>
      <c r="F405" s="94" t="s">
        <v>673</v>
      </c>
      <c r="G405" s="138" t="str">
        <f>CONCATENATE("LVL","_",C394,"_",D402,"_",E404,"_",F405)</f>
        <v>LVL_KERTO_Q (27-75)_Chant_┴</v>
      </c>
      <c r="H405" s="75"/>
      <c r="I405" s="95" t="s">
        <v>722</v>
      </c>
      <c r="J405" s="101">
        <v>6</v>
      </c>
      <c r="K405" s="112">
        <f>J402</f>
        <v>26</v>
      </c>
      <c r="L405" s="112">
        <f>L403</f>
        <v>9</v>
      </c>
      <c r="M405" s="112">
        <f>L402</f>
        <v>26</v>
      </c>
      <c r="N405" s="95">
        <v>4.5</v>
      </c>
      <c r="O405" s="101" t="s">
        <v>722</v>
      </c>
      <c r="P405" s="97" t="s">
        <v>722</v>
      </c>
      <c r="Q405" s="97" t="s">
        <v>722</v>
      </c>
      <c r="R405" s="114" t="s">
        <v>722</v>
      </c>
      <c r="S405" s="116" t="s">
        <v>722</v>
      </c>
      <c r="T405" s="103" t="s">
        <v>722</v>
      </c>
      <c r="U405" s="100">
        <v>480</v>
      </c>
      <c r="V405" s="100">
        <v>510</v>
      </c>
      <c r="W405" s="142">
        <v>3</v>
      </c>
    </row>
    <row r="406" spans="2:23" ht="22.5" x14ac:dyDescent="0.25">
      <c r="B406" s="185"/>
      <c r="C406" s="186" t="s">
        <v>603</v>
      </c>
      <c r="D406" s="69" t="s">
        <v>619</v>
      </c>
      <c r="E406" s="73" t="s">
        <v>668</v>
      </c>
      <c r="F406" s="94" t="s">
        <v>672</v>
      </c>
      <c r="G406" s="138" t="str">
        <f>CONCATENATE("LVL","_",C406,"_",D406,"_",E406,"_",F406)</f>
        <v>LVL_STEICO_LVL R_Plat_//</v>
      </c>
      <c r="H406" s="75"/>
      <c r="I406" s="101">
        <v>50</v>
      </c>
      <c r="J406" s="101">
        <v>36</v>
      </c>
      <c r="K406" s="101" t="s">
        <v>722</v>
      </c>
      <c r="L406" s="101">
        <v>40</v>
      </c>
      <c r="M406" s="101">
        <v>3.6</v>
      </c>
      <c r="N406" s="101">
        <v>2.6</v>
      </c>
      <c r="O406" s="101" t="s">
        <v>722</v>
      </c>
      <c r="P406" s="116">
        <v>12</v>
      </c>
      <c r="Q406" s="116">
        <v>14</v>
      </c>
      <c r="R406" s="114" t="s">
        <v>722</v>
      </c>
      <c r="S406" s="116">
        <v>0.56000000000000005</v>
      </c>
      <c r="T406" s="103" t="s">
        <v>722</v>
      </c>
      <c r="U406" s="100">
        <v>480</v>
      </c>
      <c r="V406" s="100">
        <v>550</v>
      </c>
      <c r="W406" s="142">
        <v>3</v>
      </c>
    </row>
    <row r="407" spans="2:23" ht="22.5" x14ac:dyDescent="0.25">
      <c r="B407" s="185"/>
      <c r="C407" s="186"/>
      <c r="D407" s="69"/>
      <c r="E407" s="73"/>
      <c r="F407" s="117" t="s">
        <v>673</v>
      </c>
      <c r="G407" s="140" t="str">
        <f>CONCATENATE("LVL","_",C406,"_",D406,"_",E406,"_",F407)</f>
        <v>LVL_STEICO_LVL R_Plat_┴</v>
      </c>
      <c r="H407" s="118"/>
      <c r="I407" s="119" t="s">
        <v>722</v>
      </c>
      <c r="J407" s="119" t="s">
        <v>722</v>
      </c>
      <c r="K407" s="119" t="s">
        <v>722</v>
      </c>
      <c r="L407" s="119" t="s">
        <v>722</v>
      </c>
      <c r="M407" s="119">
        <f>M406</f>
        <v>3.6</v>
      </c>
      <c r="N407" s="119" t="s">
        <v>722</v>
      </c>
      <c r="O407" s="119" t="s">
        <v>722</v>
      </c>
      <c r="P407" s="120" t="s">
        <v>722</v>
      </c>
      <c r="Q407" s="120" t="s">
        <v>722</v>
      </c>
      <c r="R407" s="121">
        <f>Q406</f>
        <v>14</v>
      </c>
      <c r="S407" s="120" t="s">
        <v>722</v>
      </c>
      <c r="T407" s="122" t="s">
        <v>722</v>
      </c>
      <c r="U407" s="123">
        <v>480</v>
      </c>
      <c r="V407" s="123">
        <v>550</v>
      </c>
      <c r="W407" s="144">
        <v>3</v>
      </c>
    </row>
    <row r="408" spans="2:23" ht="22.5" x14ac:dyDescent="0.25">
      <c r="B408" s="185"/>
      <c r="C408" s="186"/>
      <c r="D408" s="69"/>
      <c r="E408" s="73" t="s">
        <v>669</v>
      </c>
      <c r="F408" s="94" t="s">
        <v>672</v>
      </c>
      <c r="G408" s="138" t="str">
        <f>CONCATENATE("LVL","_",C406,"_",D406,"_",E408,"_",F408)</f>
        <v>LVL_STEICO_LVL R_Chant_//</v>
      </c>
      <c r="H408" s="75"/>
      <c r="I408" s="101">
        <v>44</v>
      </c>
      <c r="J408" s="101">
        <f>J406</f>
        <v>36</v>
      </c>
      <c r="K408" s="101">
        <v>0.9</v>
      </c>
      <c r="L408" s="101">
        <f>L406</f>
        <v>40</v>
      </c>
      <c r="M408" s="101">
        <v>7.5</v>
      </c>
      <c r="N408" s="101">
        <v>4.5999999999999996</v>
      </c>
      <c r="O408" s="101" t="s">
        <v>722</v>
      </c>
      <c r="P408" s="113">
        <f>P406</f>
        <v>12</v>
      </c>
      <c r="Q408" s="113">
        <f>Q406</f>
        <v>14</v>
      </c>
      <c r="R408" s="114" t="s">
        <v>722</v>
      </c>
      <c r="S408" s="116">
        <v>0.6</v>
      </c>
      <c r="T408" s="103" t="s">
        <v>722</v>
      </c>
      <c r="U408" s="100">
        <v>480</v>
      </c>
      <c r="V408" s="100">
        <v>550</v>
      </c>
      <c r="W408" s="142">
        <v>3</v>
      </c>
    </row>
    <row r="409" spans="2:23" ht="22.5" x14ac:dyDescent="0.25">
      <c r="B409" s="185"/>
      <c r="C409" s="186"/>
      <c r="D409" s="69"/>
      <c r="E409" s="73"/>
      <c r="F409" s="105" t="s">
        <v>673</v>
      </c>
      <c r="G409" s="139" t="str">
        <f>CONCATENATE("LVL","_",C406,"_",D406,"_",E408,"_",F409)</f>
        <v>LVL_STEICO_LVL R_Chant_┴</v>
      </c>
      <c r="H409" s="106"/>
      <c r="I409" s="107" t="s">
        <v>722</v>
      </c>
      <c r="J409" s="107">
        <f>K408</f>
        <v>0.9</v>
      </c>
      <c r="K409" s="107">
        <f>J408</f>
        <v>36</v>
      </c>
      <c r="L409" s="107">
        <f>M408</f>
        <v>7.5</v>
      </c>
      <c r="M409" s="107">
        <f>L408</f>
        <v>40</v>
      </c>
      <c r="N409" s="107" t="s">
        <v>722</v>
      </c>
      <c r="O409" s="107" t="s">
        <v>722</v>
      </c>
      <c r="P409" s="108" t="s">
        <v>722</v>
      </c>
      <c r="Q409" s="108" t="s">
        <v>722</v>
      </c>
      <c r="R409" s="109" t="s">
        <v>722</v>
      </c>
      <c r="S409" s="108" t="s">
        <v>722</v>
      </c>
      <c r="T409" s="110" t="s">
        <v>722</v>
      </c>
      <c r="U409" s="111">
        <v>480</v>
      </c>
      <c r="V409" s="111">
        <v>550</v>
      </c>
      <c r="W409" s="143">
        <v>3</v>
      </c>
    </row>
    <row r="410" spans="2:23" ht="25.5" x14ac:dyDescent="0.25">
      <c r="B410" s="185"/>
      <c r="C410" s="186"/>
      <c r="D410" s="69" t="s">
        <v>620</v>
      </c>
      <c r="E410" s="73" t="s">
        <v>668</v>
      </c>
      <c r="F410" s="94" t="s">
        <v>672</v>
      </c>
      <c r="G410" s="138" t="str">
        <f>CONCATENATE("LVL","_",C406,"_",D410,"_",E410,"_",F410)</f>
        <v>LVL_STEICO_LVL X (t≤24mm)_Plat_//</v>
      </c>
      <c r="H410" s="75"/>
      <c r="I410" s="101">
        <v>32</v>
      </c>
      <c r="J410" s="101">
        <v>18</v>
      </c>
      <c r="K410" s="101" t="s">
        <v>722</v>
      </c>
      <c r="L410" s="101">
        <v>26</v>
      </c>
      <c r="M410" s="101">
        <v>4</v>
      </c>
      <c r="N410" s="101">
        <v>1.1000000000000001</v>
      </c>
      <c r="O410" s="101" t="s">
        <v>722</v>
      </c>
      <c r="P410" s="116">
        <v>9</v>
      </c>
      <c r="Q410" s="116">
        <v>10</v>
      </c>
      <c r="R410" s="114">
        <v>1.3</v>
      </c>
      <c r="S410" s="116">
        <v>0.15</v>
      </c>
      <c r="T410" s="103" t="s">
        <v>722</v>
      </c>
      <c r="U410" s="100">
        <v>480</v>
      </c>
      <c r="V410" s="100">
        <v>530</v>
      </c>
      <c r="W410" s="142">
        <v>3</v>
      </c>
    </row>
    <row r="411" spans="2:23" ht="22.5" x14ac:dyDescent="0.25">
      <c r="B411" s="185"/>
      <c r="C411" s="186"/>
      <c r="D411" s="69"/>
      <c r="E411" s="73"/>
      <c r="F411" s="94" t="s">
        <v>673</v>
      </c>
      <c r="G411" s="138" t="str">
        <f>CONCATENATE("LVL","_",C406,"_",D410,"_",E410,"_",F411)</f>
        <v>LVL_STEICO_LVL X (t≤24mm)_Plat_┴</v>
      </c>
      <c r="H411" s="75"/>
      <c r="I411" s="101">
        <v>7</v>
      </c>
      <c r="J411" s="101" t="s">
        <v>722</v>
      </c>
      <c r="K411" s="101">
        <v>18</v>
      </c>
      <c r="L411" s="101" t="s">
        <v>722</v>
      </c>
      <c r="M411" s="112">
        <f>M410</f>
        <v>4</v>
      </c>
      <c r="N411" s="101">
        <v>1.1000000000000001</v>
      </c>
      <c r="O411" s="101" t="s">
        <v>722</v>
      </c>
      <c r="P411" s="116">
        <v>1</v>
      </c>
      <c r="Q411" s="116">
        <v>1.3</v>
      </c>
      <c r="R411" s="114">
        <f>Q410</f>
        <v>10</v>
      </c>
      <c r="S411" s="116">
        <v>0.15</v>
      </c>
      <c r="T411" s="103" t="s">
        <v>722</v>
      </c>
      <c r="U411" s="100">
        <v>480</v>
      </c>
      <c r="V411" s="100">
        <v>530</v>
      </c>
      <c r="W411" s="142">
        <v>3</v>
      </c>
    </row>
    <row r="412" spans="2:23" ht="22.5" x14ac:dyDescent="0.25">
      <c r="B412" s="185"/>
      <c r="C412" s="186"/>
      <c r="D412" s="69"/>
      <c r="E412" s="73" t="s">
        <v>669</v>
      </c>
      <c r="F412" s="94" t="s">
        <v>672</v>
      </c>
      <c r="G412" s="138" t="str">
        <f>CONCATENATE("LVL","_",C406,"_",D410,"_",E412,"_",F412)</f>
        <v>LVL_STEICO_LVL X (t≤24mm)_Chant_//</v>
      </c>
      <c r="H412" s="75"/>
      <c r="I412" s="101">
        <v>30</v>
      </c>
      <c r="J412" s="101">
        <v>18</v>
      </c>
      <c r="K412" s="101">
        <v>7</v>
      </c>
      <c r="L412" s="101">
        <v>26</v>
      </c>
      <c r="M412" s="101">
        <v>9</v>
      </c>
      <c r="N412" s="101">
        <v>4.5999999999999996</v>
      </c>
      <c r="O412" s="101" t="s">
        <v>722</v>
      </c>
      <c r="P412" s="113">
        <f>P410</f>
        <v>9</v>
      </c>
      <c r="Q412" s="113">
        <f>Q410</f>
        <v>10</v>
      </c>
      <c r="R412" s="114">
        <v>3.5</v>
      </c>
      <c r="S412" s="116">
        <v>0.6</v>
      </c>
      <c r="T412" s="103" t="s">
        <v>722</v>
      </c>
      <c r="U412" s="100">
        <v>480</v>
      </c>
      <c r="V412" s="100">
        <v>530</v>
      </c>
      <c r="W412" s="142">
        <v>3</v>
      </c>
    </row>
    <row r="413" spans="2:23" ht="22.5" x14ac:dyDescent="0.25">
      <c r="B413" s="185"/>
      <c r="C413" s="186"/>
      <c r="D413" s="69"/>
      <c r="E413" s="73"/>
      <c r="F413" s="94" t="s">
        <v>673</v>
      </c>
      <c r="G413" s="138" t="str">
        <f>CONCATENATE("LVL","_",C406,"_",D410,"_",E412,"_",F413)</f>
        <v>LVL_STEICO_LVL X (t≤24mm)_Chant_┴</v>
      </c>
      <c r="H413" s="75"/>
      <c r="I413" s="101">
        <v>10</v>
      </c>
      <c r="J413" s="112">
        <f>K412</f>
        <v>7</v>
      </c>
      <c r="K413" s="112">
        <f>J412</f>
        <v>18</v>
      </c>
      <c r="L413" s="112">
        <f>M412</f>
        <v>9</v>
      </c>
      <c r="M413" s="112">
        <f>L412</f>
        <v>26</v>
      </c>
      <c r="N413" s="101">
        <v>4.5999999999999996</v>
      </c>
      <c r="O413" s="101" t="s">
        <v>722</v>
      </c>
      <c r="P413" s="116">
        <v>2.7</v>
      </c>
      <c r="Q413" s="116" t="s">
        <v>722</v>
      </c>
      <c r="R413" s="114" t="s">
        <v>722</v>
      </c>
      <c r="S413" s="116" t="s">
        <v>722</v>
      </c>
      <c r="T413" s="103" t="s">
        <v>722</v>
      </c>
      <c r="U413" s="100">
        <v>480</v>
      </c>
      <c r="V413" s="100">
        <v>530</v>
      </c>
      <c r="W413" s="142">
        <v>3</v>
      </c>
    </row>
    <row r="414" spans="2:23" ht="25.5" x14ac:dyDescent="0.25">
      <c r="B414" s="185"/>
      <c r="C414" s="186"/>
      <c r="D414" s="69" t="s">
        <v>621</v>
      </c>
      <c r="E414" s="73" t="s">
        <v>668</v>
      </c>
      <c r="F414" s="94" t="s">
        <v>672</v>
      </c>
      <c r="G414" s="138" t="str">
        <f>CONCATENATE("LVL","_",C406,"_",D414,"_",E414,"_",F414)</f>
        <v>LVL_STEICO_LVL X (≥27mm)_Plat_//</v>
      </c>
      <c r="H414" s="75"/>
      <c r="I414" s="101">
        <v>36</v>
      </c>
      <c r="J414" s="101">
        <v>18</v>
      </c>
      <c r="K414" s="101">
        <v>5</v>
      </c>
      <c r="L414" s="101">
        <v>30</v>
      </c>
      <c r="M414" s="101">
        <v>4</v>
      </c>
      <c r="N414" s="101">
        <v>1.1000000000000001</v>
      </c>
      <c r="O414" s="101" t="s">
        <v>722</v>
      </c>
      <c r="P414" s="116">
        <v>9</v>
      </c>
      <c r="Q414" s="116">
        <v>10.6</v>
      </c>
      <c r="R414" s="114">
        <v>2.5</v>
      </c>
      <c r="S414" s="116">
        <v>0.15</v>
      </c>
      <c r="T414" s="103" t="s">
        <v>722</v>
      </c>
      <c r="U414" s="100">
        <v>480</v>
      </c>
      <c r="V414" s="100">
        <v>530</v>
      </c>
      <c r="W414" s="142">
        <v>3</v>
      </c>
    </row>
    <row r="415" spans="2:23" ht="22.5" x14ac:dyDescent="0.25">
      <c r="B415" s="185"/>
      <c r="C415" s="186"/>
      <c r="D415" s="69"/>
      <c r="E415" s="73"/>
      <c r="F415" s="94" t="s">
        <v>673</v>
      </c>
      <c r="G415" s="138" t="str">
        <f>CONCATENATE("LVL","_",C406,"_",D414,"_",E414,"_",F415)</f>
        <v>LVL_STEICO_LVL X (≥27mm)_Plat_┴</v>
      </c>
      <c r="H415" s="75"/>
      <c r="I415" s="101">
        <v>8</v>
      </c>
      <c r="J415" s="101" t="s">
        <v>722</v>
      </c>
      <c r="K415" s="101">
        <v>18</v>
      </c>
      <c r="L415" s="101" t="s">
        <v>722</v>
      </c>
      <c r="M415" s="112">
        <f>M414</f>
        <v>4</v>
      </c>
      <c r="N415" s="101">
        <v>1.1000000000000001</v>
      </c>
      <c r="O415" s="101" t="s">
        <v>722</v>
      </c>
      <c r="P415" s="116">
        <v>1.8</v>
      </c>
      <c r="Q415" s="116">
        <f>R414</f>
        <v>2.5</v>
      </c>
      <c r="R415" s="114">
        <f>Q414</f>
        <v>10.6</v>
      </c>
      <c r="S415" s="116">
        <v>0.15</v>
      </c>
      <c r="T415" s="103" t="s">
        <v>722</v>
      </c>
      <c r="U415" s="100">
        <v>480</v>
      </c>
      <c r="V415" s="100">
        <v>530</v>
      </c>
      <c r="W415" s="142">
        <v>3</v>
      </c>
    </row>
    <row r="416" spans="2:23" ht="22.5" x14ac:dyDescent="0.25">
      <c r="B416" s="185"/>
      <c r="C416" s="186"/>
      <c r="D416" s="69"/>
      <c r="E416" s="73" t="s">
        <v>669</v>
      </c>
      <c r="F416" s="94" t="s">
        <v>672</v>
      </c>
      <c r="G416" s="138" t="str">
        <f>CONCATENATE("LVL","_",C406,"_",D414,"_",E416,"_",F416)</f>
        <v>LVL_STEICO_LVL X (≥27mm)_Chant_//</v>
      </c>
      <c r="H416" s="75"/>
      <c r="I416" s="101">
        <v>32</v>
      </c>
      <c r="J416" s="101">
        <v>18</v>
      </c>
      <c r="K416" s="101">
        <v>5</v>
      </c>
      <c r="L416" s="101">
        <v>30</v>
      </c>
      <c r="M416" s="101">
        <v>9</v>
      </c>
      <c r="N416" s="101">
        <v>4.5999999999999996</v>
      </c>
      <c r="O416" s="101" t="s">
        <v>722</v>
      </c>
      <c r="P416" s="113">
        <f>P414</f>
        <v>9</v>
      </c>
      <c r="Q416" s="113">
        <f>Q414</f>
        <v>10.6</v>
      </c>
      <c r="R416" s="114">
        <v>3</v>
      </c>
      <c r="S416" s="116">
        <v>0.6</v>
      </c>
      <c r="T416" s="103" t="s">
        <v>722</v>
      </c>
      <c r="U416" s="100">
        <v>480</v>
      </c>
      <c r="V416" s="100">
        <v>530</v>
      </c>
      <c r="W416" s="142">
        <v>3</v>
      </c>
    </row>
    <row r="417" spans="2:23" ht="22.5" x14ac:dyDescent="0.25">
      <c r="B417" s="185"/>
      <c r="C417" s="186"/>
      <c r="D417" s="69"/>
      <c r="E417" s="73"/>
      <c r="F417" s="94" t="s">
        <v>673</v>
      </c>
      <c r="G417" s="138" t="str">
        <f>CONCATENATE("LVL","_",C406,"_",D414,"_",E416,"_",F417)</f>
        <v>LVL_STEICO_LVL X (≥27mm)_Chant_┴</v>
      </c>
      <c r="H417" s="75"/>
      <c r="I417" s="101">
        <v>8</v>
      </c>
      <c r="J417" s="112">
        <f>K416</f>
        <v>5</v>
      </c>
      <c r="K417" s="112">
        <f>J416</f>
        <v>18</v>
      </c>
      <c r="L417" s="112">
        <f>L416</f>
        <v>30</v>
      </c>
      <c r="M417" s="112">
        <f>M416</f>
        <v>9</v>
      </c>
      <c r="N417" s="101">
        <v>4.5999999999999996</v>
      </c>
      <c r="O417" s="101" t="s">
        <v>722</v>
      </c>
      <c r="P417" s="116">
        <v>2.2999999999999998</v>
      </c>
      <c r="Q417" s="116" t="s">
        <v>722</v>
      </c>
      <c r="R417" s="114" t="s">
        <v>722</v>
      </c>
      <c r="S417" s="116" t="s">
        <v>722</v>
      </c>
      <c r="T417" s="103" t="s">
        <v>722</v>
      </c>
      <c r="U417" s="100">
        <v>480</v>
      </c>
      <c r="V417" s="100">
        <v>530</v>
      </c>
      <c r="W417" s="142">
        <v>3</v>
      </c>
    </row>
    <row r="418" spans="2:23" ht="33.75" x14ac:dyDescent="0.25">
      <c r="B418" s="185"/>
      <c r="C418" s="186" t="s">
        <v>604</v>
      </c>
      <c r="D418" s="69" t="s">
        <v>622</v>
      </c>
      <c r="E418" s="73" t="s">
        <v>668</v>
      </c>
      <c r="F418" s="94" t="s">
        <v>672</v>
      </c>
      <c r="G418" s="138" t="str">
        <f>CONCATENATE("LVL","_",C418,"_",D418,"_",E418,"_",F418)</f>
        <v>LVL_BauBuche_Panneau S (20-80)_Plat_//</v>
      </c>
      <c r="H418" s="75"/>
      <c r="I418" s="101">
        <v>80</v>
      </c>
      <c r="J418" s="101">
        <v>60</v>
      </c>
      <c r="K418" s="101" t="s">
        <v>722</v>
      </c>
      <c r="L418" s="101">
        <v>57.5</v>
      </c>
      <c r="M418" s="101">
        <v>10</v>
      </c>
      <c r="N418" s="101">
        <v>8</v>
      </c>
      <c r="O418" s="101" t="s">
        <v>722</v>
      </c>
      <c r="P418" s="116">
        <v>14.9</v>
      </c>
      <c r="Q418" s="116">
        <v>16.8</v>
      </c>
      <c r="R418" s="114">
        <v>0.47</v>
      </c>
      <c r="S418" s="116">
        <v>0.85</v>
      </c>
      <c r="T418" s="103">
        <v>0</v>
      </c>
      <c r="U418" s="100">
        <v>730</v>
      </c>
      <c r="V418" s="100">
        <v>800</v>
      </c>
      <c r="W418" s="142">
        <v>3</v>
      </c>
    </row>
    <row r="419" spans="2:23" ht="33.75" x14ac:dyDescent="0.25">
      <c r="B419" s="185"/>
      <c r="C419" s="186"/>
      <c r="D419" s="69"/>
      <c r="E419" s="73"/>
      <c r="F419" s="117" t="s">
        <v>673</v>
      </c>
      <c r="G419" s="140" t="str">
        <f>CONCATENATE("LVL","_",C418,"_",D418,"_",E418,"_",F419)</f>
        <v>LVL_BauBuche_Panneau S (20-80)_Plat_┴</v>
      </c>
      <c r="H419" s="118"/>
      <c r="I419" s="119" t="s">
        <v>722</v>
      </c>
      <c r="J419" s="119" t="s">
        <v>722</v>
      </c>
      <c r="K419" s="119" t="s">
        <v>722</v>
      </c>
      <c r="L419" s="119" t="s">
        <v>722</v>
      </c>
      <c r="M419" s="119">
        <f>M418</f>
        <v>10</v>
      </c>
      <c r="N419" s="119" t="s">
        <v>722</v>
      </c>
      <c r="O419" s="119" t="s">
        <v>722</v>
      </c>
      <c r="P419" s="120" t="s">
        <v>722</v>
      </c>
      <c r="Q419" s="120" t="s">
        <v>722</v>
      </c>
      <c r="R419" s="121" t="s">
        <v>722</v>
      </c>
      <c r="S419" s="120" t="s">
        <v>722</v>
      </c>
      <c r="T419" s="122">
        <v>0</v>
      </c>
      <c r="U419" s="123">
        <v>730</v>
      </c>
      <c r="V419" s="123">
        <v>800</v>
      </c>
      <c r="W419" s="144">
        <v>3</v>
      </c>
    </row>
    <row r="420" spans="2:23" ht="33.75" x14ac:dyDescent="0.25">
      <c r="B420" s="185"/>
      <c r="C420" s="186"/>
      <c r="D420" s="69"/>
      <c r="E420" s="73" t="s">
        <v>669</v>
      </c>
      <c r="F420" s="94" t="s">
        <v>672</v>
      </c>
      <c r="G420" s="138" t="str">
        <f>CONCATENATE("LVL","_",C418,"_",D418,"_",E420,"_",F420)</f>
        <v>LVL_BauBuche_Panneau S (20-80)_Chant_//</v>
      </c>
      <c r="H420" s="75"/>
      <c r="I420" s="101">
        <v>75</v>
      </c>
      <c r="J420" s="101">
        <v>60</v>
      </c>
      <c r="K420" s="101">
        <v>1.5</v>
      </c>
      <c r="L420" s="101">
        <v>57.5</v>
      </c>
      <c r="M420" s="101">
        <v>14</v>
      </c>
      <c r="N420" s="101">
        <v>8</v>
      </c>
      <c r="O420" s="101" t="s">
        <v>722</v>
      </c>
      <c r="P420" s="113">
        <f>P418</f>
        <v>14.9</v>
      </c>
      <c r="Q420" s="113">
        <f>Q418</f>
        <v>16.8</v>
      </c>
      <c r="R420" s="114">
        <v>0.47</v>
      </c>
      <c r="S420" s="116">
        <v>0.76</v>
      </c>
      <c r="T420" s="103">
        <v>0</v>
      </c>
      <c r="U420" s="100">
        <v>730</v>
      </c>
      <c r="V420" s="100">
        <v>800</v>
      </c>
      <c r="W420" s="142">
        <v>3</v>
      </c>
    </row>
    <row r="421" spans="2:23" ht="33.75" x14ac:dyDescent="0.25">
      <c r="B421" s="185"/>
      <c r="C421" s="186"/>
      <c r="D421" s="69"/>
      <c r="E421" s="104"/>
      <c r="F421" s="105" t="s">
        <v>673</v>
      </c>
      <c r="G421" s="139" t="str">
        <f>CONCATENATE("LVL","_",C418,"_",D418,"_",E420,"_",F421)</f>
        <v>LVL_BauBuche_Panneau S (20-80)_Chant_┴</v>
      </c>
      <c r="H421" s="106"/>
      <c r="I421" s="107" t="s">
        <v>722</v>
      </c>
      <c r="J421" s="107">
        <f>K420</f>
        <v>1.5</v>
      </c>
      <c r="K421" s="107">
        <f>J420</f>
        <v>60</v>
      </c>
      <c r="L421" s="107">
        <f>M420</f>
        <v>14</v>
      </c>
      <c r="M421" s="107">
        <f>L420</f>
        <v>57.5</v>
      </c>
      <c r="N421" s="107" t="s">
        <v>722</v>
      </c>
      <c r="O421" s="107" t="s">
        <v>722</v>
      </c>
      <c r="P421" s="108" t="s">
        <v>722</v>
      </c>
      <c r="Q421" s="108" t="s">
        <v>722</v>
      </c>
      <c r="R421" s="109" t="s">
        <v>722</v>
      </c>
      <c r="S421" s="108" t="s">
        <v>722</v>
      </c>
      <c r="T421" s="110">
        <v>0</v>
      </c>
      <c r="U421" s="111">
        <v>730</v>
      </c>
      <c r="V421" s="111">
        <v>800</v>
      </c>
      <c r="W421" s="143">
        <v>3</v>
      </c>
    </row>
    <row r="422" spans="2:23" ht="38.25" x14ac:dyDescent="0.25">
      <c r="B422" s="185"/>
      <c r="C422" s="186"/>
      <c r="D422" s="69" t="s">
        <v>623</v>
      </c>
      <c r="E422" s="73" t="s">
        <v>668</v>
      </c>
      <c r="F422" s="94" t="s">
        <v>672</v>
      </c>
      <c r="G422" s="138" t="str">
        <f>CONCATENATE("LVL","_",C418,"_",D422,"_",E422,"_",F422)</f>
        <v>LVL_BauBuche_Panneau Q (&lt;ou=24)_Plat_//</v>
      </c>
      <c r="H422" s="75"/>
      <c r="I422" s="101">
        <v>70</v>
      </c>
      <c r="J422" s="101">
        <v>46</v>
      </c>
      <c r="K422" s="101" t="s">
        <v>722</v>
      </c>
      <c r="L422" s="101">
        <v>57</v>
      </c>
      <c r="M422" s="101">
        <v>16</v>
      </c>
      <c r="N422" s="101">
        <v>3.8</v>
      </c>
      <c r="O422" s="101" t="s">
        <v>722</v>
      </c>
      <c r="P422" s="116">
        <v>10.9</v>
      </c>
      <c r="Q422" s="116">
        <v>11.8</v>
      </c>
      <c r="R422" s="114" t="s">
        <v>722</v>
      </c>
      <c r="S422" s="116">
        <v>0.43</v>
      </c>
      <c r="T422" s="103">
        <v>0</v>
      </c>
      <c r="U422" s="100">
        <v>730</v>
      </c>
      <c r="V422" s="100">
        <v>770</v>
      </c>
      <c r="W422" s="142">
        <v>3</v>
      </c>
    </row>
    <row r="423" spans="2:23" ht="33.75" x14ac:dyDescent="0.25">
      <c r="B423" s="185"/>
      <c r="C423" s="186"/>
      <c r="D423" s="69"/>
      <c r="E423" s="73"/>
      <c r="F423" s="94" t="s">
        <v>673</v>
      </c>
      <c r="G423" s="138" t="str">
        <f>CONCATENATE("LVL","_",C418,"_",D422,"_",E422,"_",F423)</f>
        <v>LVL_BauBuche_Panneau Q (&lt;ou=24)_Plat_┴</v>
      </c>
      <c r="H423" s="75"/>
      <c r="I423" s="101">
        <v>34</v>
      </c>
      <c r="J423" s="101" t="s">
        <v>722</v>
      </c>
      <c r="K423" s="101">
        <v>46</v>
      </c>
      <c r="L423" s="101" t="s">
        <v>722</v>
      </c>
      <c r="M423" s="112">
        <f>M422</f>
        <v>16</v>
      </c>
      <c r="N423" s="101" t="s">
        <v>722</v>
      </c>
      <c r="O423" s="101" t="s">
        <v>722</v>
      </c>
      <c r="P423" s="116" t="s">
        <v>722</v>
      </c>
      <c r="Q423" s="116" t="s">
        <v>722</v>
      </c>
      <c r="R423" s="114">
        <v>3.5</v>
      </c>
      <c r="S423" s="116">
        <v>0.43</v>
      </c>
      <c r="T423" s="103">
        <v>0</v>
      </c>
      <c r="U423" s="100">
        <v>730</v>
      </c>
      <c r="V423" s="100">
        <v>770</v>
      </c>
      <c r="W423" s="142">
        <v>3</v>
      </c>
    </row>
    <row r="424" spans="2:23" ht="33.75" x14ac:dyDescent="0.25">
      <c r="B424" s="185"/>
      <c r="C424" s="186"/>
      <c r="D424" s="69"/>
      <c r="E424" s="73" t="s">
        <v>669</v>
      </c>
      <c r="F424" s="94" t="s">
        <v>672</v>
      </c>
      <c r="G424" s="138" t="str">
        <f>CONCATENATE("LVL","_",C418,"_",D422,"_",E424,"_",F424)</f>
        <v>LVL_BauBuche_Panneau Q (&lt;ou=24)_Chant_//</v>
      </c>
      <c r="H424" s="75"/>
      <c r="I424" s="101">
        <v>54</v>
      </c>
      <c r="J424" s="101">
        <v>46</v>
      </c>
      <c r="K424" s="101">
        <v>15</v>
      </c>
      <c r="L424" s="101">
        <v>57</v>
      </c>
      <c r="M424" s="101">
        <v>40</v>
      </c>
      <c r="N424" s="101">
        <v>7.8</v>
      </c>
      <c r="O424" s="101" t="s">
        <v>722</v>
      </c>
      <c r="P424" s="113">
        <f>P422</f>
        <v>10.9</v>
      </c>
      <c r="Q424" s="113">
        <f>Q422</f>
        <v>11.8</v>
      </c>
      <c r="R424" s="114" t="s">
        <v>722</v>
      </c>
      <c r="S424" s="116">
        <v>0.82</v>
      </c>
      <c r="T424" s="103">
        <v>0</v>
      </c>
      <c r="U424" s="100">
        <v>730</v>
      </c>
      <c r="V424" s="100">
        <v>770</v>
      </c>
      <c r="W424" s="142">
        <v>3</v>
      </c>
    </row>
    <row r="425" spans="2:23" ht="33.75" x14ac:dyDescent="0.25">
      <c r="B425" s="185"/>
      <c r="C425" s="186"/>
      <c r="D425" s="69"/>
      <c r="E425" s="73"/>
      <c r="F425" s="94" t="s">
        <v>673</v>
      </c>
      <c r="G425" s="138" t="str">
        <f>CONCATENATE("LVL","_",C418,"_",D422,"_",E424,"_",F425)</f>
        <v>LVL_BauBuche_Panneau Q (&lt;ou=24)_Chant_┴</v>
      </c>
      <c r="H425" s="75"/>
      <c r="I425" s="101">
        <v>16</v>
      </c>
      <c r="J425" s="112">
        <f>K424</f>
        <v>15</v>
      </c>
      <c r="K425" s="112">
        <f>J424</f>
        <v>46</v>
      </c>
      <c r="L425" s="112">
        <f>M424</f>
        <v>40</v>
      </c>
      <c r="M425" s="112">
        <f>L424</f>
        <v>57</v>
      </c>
      <c r="N425" s="101">
        <v>7.8</v>
      </c>
      <c r="O425" s="101" t="s">
        <v>722</v>
      </c>
      <c r="P425" s="116" t="s">
        <v>722</v>
      </c>
      <c r="Q425" s="116" t="s">
        <v>722</v>
      </c>
      <c r="R425" s="114">
        <v>3.5</v>
      </c>
      <c r="S425" s="116">
        <v>0.82</v>
      </c>
      <c r="T425" s="103">
        <v>0</v>
      </c>
      <c r="U425" s="100">
        <v>730</v>
      </c>
      <c r="V425" s="100">
        <v>770</v>
      </c>
      <c r="W425" s="142">
        <v>3</v>
      </c>
    </row>
    <row r="426" spans="2:23" ht="33.75" x14ac:dyDescent="0.25">
      <c r="B426" s="185"/>
      <c r="C426" s="186"/>
      <c r="D426" s="69" t="s">
        <v>624</v>
      </c>
      <c r="E426" s="73" t="s">
        <v>668</v>
      </c>
      <c r="F426" s="94" t="s">
        <v>672</v>
      </c>
      <c r="G426" s="138" t="str">
        <f>CONCATENATE("LVL","_",C418,"_",D426,"_",E426,"_",F426)</f>
        <v>LVL_BauBuche_Panneau Q (27-66)_Plat_//</v>
      </c>
      <c r="H426" s="75"/>
      <c r="I426" s="101">
        <v>81</v>
      </c>
      <c r="J426" s="101">
        <v>49</v>
      </c>
      <c r="K426" s="101" t="s">
        <v>722</v>
      </c>
      <c r="L426" s="101">
        <v>62</v>
      </c>
      <c r="M426" s="101">
        <v>9</v>
      </c>
      <c r="N426" s="101">
        <v>3.8</v>
      </c>
      <c r="O426" s="101" t="s">
        <v>722</v>
      </c>
      <c r="P426" s="116">
        <v>11.8</v>
      </c>
      <c r="Q426" s="116">
        <v>12.8</v>
      </c>
      <c r="R426" s="114" t="s">
        <v>722</v>
      </c>
      <c r="S426" s="116">
        <v>0.43</v>
      </c>
      <c r="T426" s="103">
        <v>0</v>
      </c>
      <c r="U426" s="100">
        <v>730</v>
      </c>
      <c r="V426" s="100">
        <v>800</v>
      </c>
      <c r="W426" s="142">
        <v>3</v>
      </c>
    </row>
    <row r="427" spans="2:23" ht="33.75" x14ac:dyDescent="0.25">
      <c r="B427" s="185"/>
      <c r="C427" s="186"/>
      <c r="D427" s="69"/>
      <c r="E427" s="73"/>
      <c r="F427" s="94" t="s">
        <v>673</v>
      </c>
      <c r="G427" s="138" t="str">
        <f>CONCATENATE("LVL","_",C418,"_",D426,"_",E426,"_",F427)</f>
        <v>LVL_BauBuche_Panneau Q (27-66)_Plat_┴</v>
      </c>
      <c r="H427" s="75"/>
      <c r="I427" s="101">
        <v>21</v>
      </c>
      <c r="J427" s="101" t="s">
        <v>722</v>
      </c>
      <c r="K427" s="101">
        <v>8</v>
      </c>
      <c r="L427" s="101" t="s">
        <v>722</v>
      </c>
      <c r="M427" s="112">
        <f>M426</f>
        <v>9</v>
      </c>
      <c r="N427" s="101" t="s">
        <v>722</v>
      </c>
      <c r="O427" s="101" t="s">
        <v>722</v>
      </c>
      <c r="P427" s="116" t="s">
        <v>722</v>
      </c>
      <c r="Q427" s="116" t="s">
        <v>722</v>
      </c>
      <c r="R427" s="114">
        <v>2</v>
      </c>
      <c r="S427" s="116">
        <v>0.43</v>
      </c>
      <c r="T427" s="103">
        <v>0</v>
      </c>
      <c r="U427" s="100">
        <v>730</v>
      </c>
      <c r="V427" s="100">
        <v>800</v>
      </c>
      <c r="W427" s="142">
        <v>3</v>
      </c>
    </row>
    <row r="428" spans="2:23" ht="33.75" x14ac:dyDescent="0.25">
      <c r="B428" s="185"/>
      <c r="C428" s="186"/>
      <c r="D428" s="69"/>
      <c r="E428" s="73" t="s">
        <v>669</v>
      </c>
      <c r="F428" s="94" t="s">
        <v>672</v>
      </c>
      <c r="G428" s="138" t="str">
        <f>CONCATENATE("LVL","_",C418,"_",D426,"_",E428,"_",F428)</f>
        <v>LVL_BauBuche_Panneau Q (27-66)_Chant_//</v>
      </c>
      <c r="H428" s="75"/>
      <c r="I428" s="101">
        <v>59</v>
      </c>
      <c r="J428" s="101">
        <v>49</v>
      </c>
      <c r="K428" s="101">
        <v>8</v>
      </c>
      <c r="L428" s="101">
        <v>62</v>
      </c>
      <c r="M428" s="101">
        <v>22</v>
      </c>
      <c r="N428" s="101">
        <v>7.8</v>
      </c>
      <c r="O428" s="101" t="s">
        <v>722</v>
      </c>
      <c r="P428" s="113">
        <v>11.8</v>
      </c>
      <c r="Q428" s="113">
        <v>12.8</v>
      </c>
      <c r="R428" s="114" t="s">
        <v>722</v>
      </c>
      <c r="S428" s="116">
        <v>0.82</v>
      </c>
      <c r="T428" s="103">
        <v>0</v>
      </c>
      <c r="U428" s="100">
        <v>730</v>
      </c>
      <c r="V428" s="100">
        <v>800</v>
      </c>
      <c r="W428" s="142">
        <v>3</v>
      </c>
    </row>
    <row r="429" spans="2:23" ht="33.75" x14ac:dyDescent="0.25">
      <c r="B429" s="185"/>
      <c r="C429" s="186"/>
      <c r="D429" s="69"/>
      <c r="E429" s="73"/>
      <c r="F429" s="94" t="s">
        <v>673</v>
      </c>
      <c r="G429" s="138" t="str">
        <f>CONCATENATE("LVL","_",C418,"_",D426,"_",E428,"_",F429)</f>
        <v>LVL_BauBuche_Panneau Q (27-66)_Chant_┴</v>
      </c>
      <c r="H429" s="75"/>
      <c r="I429" s="101">
        <v>9</v>
      </c>
      <c r="J429" s="112">
        <f>K428</f>
        <v>8</v>
      </c>
      <c r="K429" s="112">
        <f>J428</f>
        <v>49</v>
      </c>
      <c r="L429" s="112">
        <f>M428</f>
        <v>22</v>
      </c>
      <c r="M429" s="112">
        <f>L428</f>
        <v>62</v>
      </c>
      <c r="N429" s="101">
        <v>7.8</v>
      </c>
      <c r="O429" s="101" t="s">
        <v>722</v>
      </c>
      <c r="P429" s="116" t="s">
        <v>722</v>
      </c>
      <c r="Q429" s="116" t="s">
        <v>722</v>
      </c>
      <c r="R429" s="114">
        <v>2</v>
      </c>
      <c r="S429" s="116">
        <v>0.82</v>
      </c>
      <c r="T429" s="103">
        <v>0</v>
      </c>
      <c r="U429" s="100">
        <v>730</v>
      </c>
      <c r="V429" s="100">
        <v>800</v>
      </c>
      <c r="W429" s="142">
        <v>3</v>
      </c>
    </row>
    <row r="430" spans="2:23" ht="38.25" x14ac:dyDescent="0.25">
      <c r="B430" s="185"/>
      <c r="C430" s="186"/>
      <c r="D430" s="69" t="s">
        <v>625</v>
      </c>
      <c r="E430" s="73" t="s">
        <v>670</v>
      </c>
      <c r="F430" s="94" t="s">
        <v>674</v>
      </c>
      <c r="G430" s="138" t="str">
        <f>CONCATENATE("LVL","_",C418,"_",D430,"_",E430,"_",F430)</f>
        <v>LVL_BauBuche_Poutre Baubuche GL75_Plat _classe 1</v>
      </c>
      <c r="H430" s="75"/>
      <c r="I430" s="101">
        <v>75</v>
      </c>
      <c r="J430" s="101">
        <v>60</v>
      </c>
      <c r="K430" s="101">
        <v>0.6</v>
      </c>
      <c r="L430" s="101">
        <v>59.4</v>
      </c>
      <c r="M430" s="101">
        <v>14.8</v>
      </c>
      <c r="N430" s="101">
        <v>4.5</v>
      </c>
      <c r="O430" s="101"/>
      <c r="P430" s="116">
        <v>15.3</v>
      </c>
      <c r="Q430" s="116">
        <v>16.8</v>
      </c>
      <c r="R430" s="114">
        <v>0.47</v>
      </c>
      <c r="S430" s="116">
        <v>0.85</v>
      </c>
      <c r="T430" s="103" t="s">
        <v>722</v>
      </c>
      <c r="U430" s="100">
        <v>730</v>
      </c>
      <c r="V430" s="100">
        <v>800</v>
      </c>
      <c r="W430" s="142">
        <v>3</v>
      </c>
    </row>
    <row r="431" spans="2:23" ht="33.75" x14ac:dyDescent="0.25">
      <c r="B431" s="185"/>
      <c r="C431" s="186"/>
      <c r="D431" s="69"/>
      <c r="E431" s="73"/>
      <c r="F431" s="94" t="s">
        <v>675</v>
      </c>
      <c r="G431" s="138" t="str">
        <f>CONCATENATE("LVL","_",C418,"_",D430,"_",E430,"_",F431)</f>
        <v>LVL_BauBuche_Poutre Baubuche GL75_Plat _classe 2</v>
      </c>
      <c r="H431" s="75"/>
      <c r="I431" s="101">
        <v>75</v>
      </c>
      <c r="J431" s="101">
        <v>60</v>
      </c>
      <c r="K431" s="101">
        <v>0.6</v>
      </c>
      <c r="L431" s="101">
        <v>49.5</v>
      </c>
      <c r="M431" s="101">
        <v>12.3</v>
      </c>
      <c r="N431" s="101">
        <v>4.5</v>
      </c>
      <c r="O431" s="101"/>
      <c r="P431" s="116">
        <v>15.3</v>
      </c>
      <c r="Q431" s="116">
        <v>16.8</v>
      </c>
      <c r="R431" s="114">
        <v>0.47</v>
      </c>
      <c r="S431" s="116">
        <v>0.85</v>
      </c>
      <c r="T431" s="103" t="s">
        <v>722</v>
      </c>
      <c r="U431" s="100">
        <v>730</v>
      </c>
      <c r="V431" s="100">
        <v>800</v>
      </c>
      <c r="W431" s="142">
        <v>3</v>
      </c>
    </row>
    <row r="432" spans="2:23" ht="33.75" x14ac:dyDescent="0.25">
      <c r="B432" s="185"/>
      <c r="C432" s="186" t="s">
        <v>605</v>
      </c>
      <c r="D432" s="69" t="s">
        <v>626</v>
      </c>
      <c r="E432" s="73" t="s">
        <v>668</v>
      </c>
      <c r="F432" s="94" t="s">
        <v>672</v>
      </c>
      <c r="G432" s="138" t="str">
        <f>CONCATENATE("LVL","_",C432,"_",D432,"_",E432,"_",F432)</f>
        <v>LVL_LPSolidStart_DF LVL-Q-Lite_Plat_//</v>
      </c>
      <c r="H432" s="75"/>
      <c r="I432" s="95">
        <v>23.9</v>
      </c>
      <c r="J432" s="95">
        <v>14.9</v>
      </c>
      <c r="K432" s="95" t="s">
        <v>722</v>
      </c>
      <c r="L432" s="95">
        <v>22.2</v>
      </c>
      <c r="M432" s="95">
        <v>3</v>
      </c>
      <c r="N432" s="101">
        <v>1.3</v>
      </c>
      <c r="O432" s="101" t="s">
        <v>722</v>
      </c>
      <c r="P432" s="116">
        <v>6.44</v>
      </c>
      <c r="Q432" s="97">
        <v>7.58</v>
      </c>
      <c r="R432" s="114" t="s">
        <v>722</v>
      </c>
      <c r="S432" s="113">
        <f>S398</f>
        <v>0.06</v>
      </c>
      <c r="T432" s="103" t="s">
        <v>722</v>
      </c>
      <c r="U432" s="100">
        <v>420</v>
      </c>
      <c r="V432" s="100">
        <v>510</v>
      </c>
      <c r="W432" s="142">
        <v>3</v>
      </c>
    </row>
    <row r="433" spans="2:23" ht="33.75" x14ac:dyDescent="0.25">
      <c r="B433" s="185"/>
      <c r="C433" s="186"/>
      <c r="D433" s="69"/>
      <c r="E433" s="73" t="s">
        <v>669</v>
      </c>
      <c r="F433" s="94" t="s">
        <v>672</v>
      </c>
      <c r="G433" s="138" t="str">
        <f>CONCATENATE("LVL","_",C432,"_",D432,"_",E433,"_",F433)</f>
        <v>LVL_LPSolidStart_DF LVL-Q-Lite_Chant_//</v>
      </c>
      <c r="H433" s="75"/>
      <c r="I433" s="95">
        <v>24</v>
      </c>
      <c r="J433" s="112">
        <f>J432</f>
        <v>14.9</v>
      </c>
      <c r="K433" s="101">
        <v>4</v>
      </c>
      <c r="L433" s="112">
        <f>L432</f>
        <v>22.2</v>
      </c>
      <c r="M433" s="101">
        <v>6.7</v>
      </c>
      <c r="N433" s="95">
        <v>3.6</v>
      </c>
      <c r="O433" s="101" t="s">
        <v>722</v>
      </c>
      <c r="P433" s="116">
        <v>7.62</v>
      </c>
      <c r="Q433" s="116">
        <v>8.9600000000000009</v>
      </c>
      <c r="R433" s="114" t="s">
        <v>722</v>
      </c>
      <c r="S433" s="113">
        <f>S400</f>
        <v>0.6</v>
      </c>
      <c r="T433" s="103" t="s">
        <v>722</v>
      </c>
      <c r="U433" s="124">
        <f>U432</f>
        <v>420</v>
      </c>
      <c r="V433" s="124">
        <f>V432</f>
        <v>510</v>
      </c>
      <c r="W433" s="142">
        <v>3</v>
      </c>
    </row>
    <row r="434" spans="2:23" ht="22.5" x14ac:dyDescent="0.25">
      <c r="B434" s="185"/>
      <c r="C434" s="186"/>
      <c r="D434" s="69" t="s">
        <v>627</v>
      </c>
      <c r="E434" s="73" t="s">
        <v>668</v>
      </c>
      <c r="F434" s="94" t="s">
        <v>672</v>
      </c>
      <c r="G434" s="138" t="str">
        <f>CONCATENATE("LVL","_",C430,"_",D434,"_",E434,"_",F434)</f>
        <v>LVL__DF LVL-Q_Plat_//</v>
      </c>
      <c r="H434" s="75"/>
      <c r="I434" s="95">
        <v>36</v>
      </c>
      <c r="J434" s="95">
        <v>23.2</v>
      </c>
      <c r="K434" s="95" t="s">
        <v>722</v>
      </c>
      <c r="L434" s="95">
        <v>26</v>
      </c>
      <c r="M434" s="95">
        <v>3</v>
      </c>
      <c r="N434" s="101">
        <v>1.3</v>
      </c>
      <c r="O434" s="101" t="s">
        <v>722</v>
      </c>
      <c r="P434" s="116" t="s">
        <v>722</v>
      </c>
      <c r="Q434" s="97">
        <v>10.5</v>
      </c>
      <c r="R434" s="114" t="s">
        <v>722</v>
      </c>
      <c r="S434" s="113" t="str">
        <f>$R$394</f>
        <v>-</v>
      </c>
      <c r="T434" s="103" t="s">
        <v>722</v>
      </c>
      <c r="U434" s="100">
        <v>420</v>
      </c>
      <c r="V434" s="100">
        <v>550</v>
      </c>
      <c r="W434" s="142">
        <v>3</v>
      </c>
    </row>
    <row r="435" spans="2:23" ht="22.5" x14ac:dyDescent="0.25">
      <c r="B435" s="185"/>
      <c r="C435" s="186"/>
      <c r="D435" s="69"/>
      <c r="E435" s="73" t="s">
        <v>669</v>
      </c>
      <c r="F435" s="94" t="s">
        <v>672</v>
      </c>
      <c r="G435" s="138" t="str">
        <f>CONCATENATE("LVL","_",$C$432,"_",D434,"_",E435,"_",F435)</f>
        <v>LVL_LPSolidStart_DF LVL-Q_Chant_//</v>
      </c>
      <c r="H435" s="75"/>
      <c r="I435" s="95">
        <v>32</v>
      </c>
      <c r="J435" s="112">
        <f>J434</f>
        <v>23.2</v>
      </c>
      <c r="K435" s="101">
        <v>4</v>
      </c>
      <c r="L435" s="112">
        <v>26</v>
      </c>
      <c r="M435" s="101">
        <v>9</v>
      </c>
      <c r="N435" s="95">
        <v>4.5</v>
      </c>
      <c r="O435" s="101" t="s">
        <v>722</v>
      </c>
      <c r="P435" s="116" t="s">
        <v>722</v>
      </c>
      <c r="Q435" s="116">
        <v>10.5</v>
      </c>
      <c r="R435" s="114" t="s">
        <v>722</v>
      </c>
      <c r="S435" s="113">
        <f>$S$400</f>
        <v>0.6</v>
      </c>
      <c r="T435" s="103" t="s">
        <v>722</v>
      </c>
      <c r="U435" s="124">
        <f>U434</f>
        <v>420</v>
      </c>
      <c r="V435" s="124">
        <f>V434</f>
        <v>550</v>
      </c>
      <c r="W435" s="142">
        <v>3</v>
      </c>
    </row>
    <row r="436" spans="2:23" ht="33.75" x14ac:dyDescent="0.25">
      <c r="B436" s="185"/>
      <c r="C436" s="186"/>
      <c r="D436" s="69" t="s">
        <v>628</v>
      </c>
      <c r="E436" s="73" t="s">
        <v>668</v>
      </c>
      <c r="F436" s="94" t="s">
        <v>672</v>
      </c>
      <c r="G436" s="138" t="str">
        <f>CONCATENATE("LVL","_",C432,"_",D436,"_",E436,"_",F436)</f>
        <v>LVL_LPSolidStart_DF LVL-S-Lite_Plat_//</v>
      </c>
      <c r="H436" s="75"/>
      <c r="I436" s="95">
        <v>38.4</v>
      </c>
      <c r="J436" s="95">
        <v>23.2</v>
      </c>
      <c r="K436" s="95" t="s">
        <v>722</v>
      </c>
      <c r="L436" s="95">
        <v>30.8</v>
      </c>
      <c r="M436" s="95">
        <v>3</v>
      </c>
      <c r="N436" s="101">
        <v>2.1</v>
      </c>
      <c r="O436" s="101" t="s">
        <v>722</v>
      </c>
      <c r="P436" s="116">
        <v>10.55</v>
      </c>
      <c r="Q436" s="97">
        <v>12.41</v>
      </c>
      <c r="R436" s="114" t="s">
        <v>722</v>
      </c>
      <c r="S436" s="113" t="str">
        <f>$R$394</f>
        <v>-</v>
      </c>
      <c r="T436" s="103" t="s">
        <v>722</v>
      </c>
      <c r="U436" s="100">
        <v>420</v>
      </c>
      <c r="V436" s="100">
        <v>550</v>
      </c>
      <c r="W436" s="142">
        <v>3</v>
      </c>
    </row>
    <row r="437" spans="2:23" ht="33.75" x14ac:dyDescent="0.25">
      <c r="B437" s="185"/>
      <c r="C437" s="186"/>
      <c r="D437" s="69"/>
      <c r="E437" s="73" t="s">
        <v>669</v>
      </c>
      <c r="F437" s="94" t="s">
        <v>672</v>
      </c>
      <c r="G437" s="138" t="str">
        <f>CONCATENATE("LVL","_",$C$432,"_",D436,"_",E437,"_",F437)</f>
        <v>LVL_LPSolidStart_DF LVL-S-Lite_Chant_//</v>
      </c>
      <c r="H437" s="75"/>
      <c r="I437" s="95">
        <v>38.4</v>
      </c>
      <c r="J437" s="112">
        <f>J436</f>
        <v>23.2</v>
      </c>
      <c r="K437" s="101">
        <v>0.7</v>
      </c>
      <c r="L437" s="112">
        <f>L436</f>
        <v>30.8</v>
      </c>
      <c r="M437" s="101">
        <v>6.5</v>
      </c>
      <c r="N437" s="95">
        <v>3.8</v>
      </c>
      <c r="O437" s="101" t="s">
        <v>722</v>
      </c>
      <c r="P437" s="116">
        <v>11.13</v>
      </c>
      <c r="Q437" s="116">
        <v>13.1</v>
      </c>
      <c r="R437" s="114" t="s">
        <v>722</v>
      </c>
      <c r="S437" s="113">
        <f>$R$396</f>
        <v>0.43</v>
      </c>
      <c r="T437" s="103" t="s">
        <v>722</v>
      </c>
      <c r="U437" s="124">
        <f>U436</f>
        <v>420</v>
      </c>
      <c r="V437" s="124">
        <f>V436</f>
        <v>550</v>
      </c>
      <c r="W437" s="142">
        <v>3</v>
      </c>
    </row>
    <row r="438" spans="2:23" ht="22.5" x14ac:dyDescent="0.25">
      <c r="B438" s="185"/>
      <c r="C438" s="186"/>
      <c r="D438" s="69" t="s">
        <v>629</v>
      </c>
      <c r="E438" s="73" t="s">
        <v>668</v>
      </c>
      <c r="F438" s="94" t="s">
        <v>672</v>
      </c>
      <c r="G438" s="138" t="str">
        <f>CONCATENATE("LVL","_",$C$432,"_",D438,"_",E438,"_",F438)</f>
        <v>LVL_LPSolidStart_DF LVL-S_Plat_//</v>
      </c>
      <c r="H438" s="75"/>
      <c r="I438" s="95">
        <v>42.7</v>
      </c>
      <c r="J438" s="95">
        <v>26</v>
      </c>
      <c r="K438" s="95"/>
      <c r="L438" s="95">
        <v>41.9</v>
      </c>
      <c r="M438" s="95">
        <v>3</v>
      </c>
      <c r="N438" s="101">
        <v>2.1</v>
      </c>
      <c r="O438" s="101" t="s">
        <v>722</v>
      </c>
      <c r="P438" s="116">
        <v>11.72</v>
      </c>
      <c r="Q438" s="97">
        <v>13.79</v>
      </c>
      <c r="R438" s="114" t="s">
        <v>722</v>
      </c>
      <c r="S438" s="113" t="str">
        <f>R394</f>
        <v>-</v>
      </c>
      <c r="T438" s="103" t="s">
        <v>722</v>
      </c>
      <c r="U438" s="100">
        <v>420</v>
      </c>
      <c r="V438" s="100">
        <v>580</v>
      </c>
      <c r="W438" s="142">
        <v>3</v>
      </c>
    </row>
    <row r="439" spans="2:23" ht="22.5" x14ac:dyDescent="0.25">
      <c r="B439" s="185"/>
      <c r="C439" s="186"/>
      <c r="D439" s="69"/>
      <c r="E439" s="73" t="s">
        <v>669</v>
      </c>
      <c r="F439" s="94" t="s">
        <v>672</v>
      </c>
      <c r="G439" s="138" t="str">
        <f>CONCATENATE("LVL","_",$C$432,"_",D438,"_",E439,"_",F439)</f>
        <v>LVL_LPSolidStart_DF LVL-S_Chant_//</v>
      </c>
      <c r="H439" s="75"/>
      <c r="I439" s="95">
        <v>42.8</v>
      </c>
      <c r="J439" s="112">
        <f>J438</f>
        <v>26</v>
      </c>
      <c r="K439" s="101">
        <v>0.7</v>
      </c>
      <c r="L439" s="112">
        <f>L438</f>
        <v>41.9</v>
      </c>
      <c r="M439" s="101">
        <v>6.5</v>
      </c>
      <c r="N439" s="95">
        <v>3.8</v>
      </c>
      <c r="O439" s="101" t="s">
        <v>722</v>
      </c>
      <c r="P439" s="116">
        <v>11.72</v>
      </c>
      <c r="Q439" s="116">
        <v>13.79</v>
      </c>
      <c r="R439" s="114" t="s">
        <v>722</v>
      </c>
      <c r="S439" s="113">
        <f>R396</f>
        <v>0.43</v>
      </c>
      <c r="T439" s="103" t="s">
        <v>722</v>
      </c>
      <c r="U439" s="124">
        <f>U438</f>
        <v>420</v>
      </c>
      <c r="V439" s="124">
        <f>V438</f>
        <v>580</v>
      </c>
      <c r="W439" s="142">
        <v>3</v>
      </c>
    </row>
    <row r="440" spans="2:23" ht="33.75" x14ac:dyDescent="0.25">
      <c r="B440" s="185"/>
      <c r="C440" s="186"/>
      <c r="D440" s="69" t="s">
        <v>630</v>
      </c>
      <c r="E440" s="73" t="s">
        <v>668</v>
      </c>
      <c r="F440" s="94" t="s">
        <v>672</v>
      </c>
      <c r="G440" s="138" t="str">
        <f>CONCATENATE("LVL","_",$C$432,"_",D440,"_",E440,"_",F440)</f>
        <v>LVL_LPSolidStart_SP LVL-S-Lite_Plat_//</v>
      </c>
      <c r="H440" s="75"/>
      <c r="I440" s="95">
        <v>38.4</v>
      </c>
      <c r="J440" s="95">
        <v>23.2</v>
      </c>
      <c r="K440" s="95" t="s">
        <v>722</v>
      </c>
      <c r="L440" s="95">
        <v>30.8</v>
      </c>
      <c r="M440" s="95">
        <v>3</v>
      </c>
      <c r="N440" s="101">
        <v>2.1</v>
      </c>
      <c r="O440" s="101" t="s">
        <v>722</v>
      </c>
      <c r="P440" s="116">
        <v>10.55</v>
      </c>
      <c r="Q440" s="97">
        <v>12.41</v>
      </c>
      <c r="R440" s="114" t="s">
        <v>722</v>
      </c>
      <c r="S440" s="113" t="str">
        <f>R394</f>
        <v>-</v>
      </c>
      <c r="T440" s="103" t="s">
        <v>722</v>
      </c>
      <c r="U440" s="100">
        <v>420</v>
      </c>
      <c r="V440" s="100">
        <v>640</v>
      </c>
      <c r="W440" s="142">
        <v>3</v>
      </c>
    </row>
    <row r="441" spans="2:23" ht="33.75" x14ac:dyDescent="0.25">
      <c r="B441" s="185"/>
      <c r="C441" s="186"/>
      <c r="D441" s="69"/>
      <c r="E441" s="73" t="s">
        <v>669</v>
      </c>
      <c r="F441" s="94" t="s">
        <v>672</v>
      </c>
      <c r="G441" s="138" t="str">
        <f>CONCATENATE("LVL","_",$C$432,"_",D440,"_",E441,"_",F441)</f>
        <v>LVL_LPSolidStart_SP LVL-S-Lite_Chant_//</v>
      </c>
      <c r="H441" s="75"/>
      <c r="I441" s="95">
        <v>38.4</v>
      </c>
      <c r="J441" s="112">
        <f>J440</f>
        <v>23.2</v>
      </c>
      <c r="K441" s="101">
        <v>0.7</v>
      </c>
      <c r="L441" s="112">
        <f>L440</f>
        <v>30.8</v>
      </c>
      <c r="M441" s="101">
        <v>6.5</v>
      </c>
      <c r="N441" s="95">
        <v>3.8</v>
      </c>
      <c r="O441" s="101" t="s">
        <v>722</v>
      </c>
      <c r="P441" s="116">
        <v>11.13</v>
      </c>
      <c r="Q441" s="116">
        <v>13.1</v>
      </c>
      <c r="R441" s="114" t="s">
        <v>722</v>
      </c>
      <c r="S441" s="113">
        <f>R396</f>
        <v>0.43</v>
      </c>
      <c r="T441" s="103" t="s">
        <v>722</v>
      </c>
      <c r="U441" s="124">
        <f>U440</f>
        <v>420</v>
      </c>
      <c r="V441" s="124">
        <f>V440</f>
        <v>640</v>
      </c>
      <c r="W441" s="142">
        <v>3</v>
      </c>
    </row>
    <row r="442" spans="2:23" ht="22.5" x14ac:dyDescent="0.25">
      <c r="B442" s="185"/>
      <c r="C442" s="186"/>
      <c r="D442" s="69" t="s">
        <v>631</v>
      </c>
      <c r="E442" s="73" t="s">
        <v>668</v>
      </c>
      <c r="F442" s="94" t="s">
        <v>672</v>
      </c>
      <c r="G442" s="138" t="str">
        <f>CONCATENATE("LVL","_",$C$432,"_",D442,"_",E442,"_",F442)</f>
        <v>LVL_LPSolidStart_SP LVL-S_Plat_//</v>
      </c>
      <c r="H442" s="75"/>
      <c r="I442" s="95">
        <v>42.7</v>
      </c>
      <c r="J442" s="95">
        <v>26</v>
      </c>
      <c r="K442" s="95" t="s">
        <v>722</v>
      </c>
      <c r="L442" s="95">
        <v>41.9</v>
      </c>
      <c r="M442" s="95">
        <v>3</v>
      </c>
      <c r="N442" s="101">
        <v>2.1</v>
      </c>
      <c r="O442" s="101" t="s">
        <v>722</v>
      </c>
      <c r="P442" s="116">
        <v>11.72</v>
      </c>
      <c r="Q442" s="97">
        <v>13.79</v>
      </c>
      <c r="R442" s="114" t="s">
        <v>722</v>
      </c>
      <c r="S442" s="113" t="str">
        <f>R394</f>
        <v>-</v>
      </c>
      <c r="T442" s="103" t="s">
        <v>722</v>
      </c>
      <c r="U442" s="100">
        <v>420</v>
      </c>
      <c r="V442" s="100">
        <v>650</v>
      </c>
      <c r="W442" s="142">
        <v>3</v>
      </c>
    </row>
    <row r="443" spans="2:23" ht="22.5" x14ac:dyDescent="0.25">
      <c r="B443" s="185"/>
      <c r="C443" s="186"/>
      <c r="D443" s="69"/>
      <c r="E443" s="73" t="s">
        <v>669</v>
      </c>
      <c r="F443" s="94" t="s">
        <v>672</v>
      </c>
      <c r="G443" s="138" t="str">
        <f>CONCATENATE("LVL","_",$C$432,"_",D442,"_",E443,"_",F443)</f>
        <v>LVL_LPSolidStart_SP LVL-S_Chant_//</v>
      </c>
      <c r="H443" s="75"/>
      <c r="I443" s="95">
        <v>42.8</v>
      </c>
      <c r="J443" s="112">
        <f>J442</f>
        <v>26</v>
      </c>
      <c r="K443" s="101">
        <v>0.7</v>
      </c>
      <c r="L443" s="112">
        <f>L442</f>
        <v>41.9</v>
      </c>
      <c r="M443" s="101">
        <v>6.5</v>
      </c>
      <c r="N443" s="95">
        <v>3.8</v>
      </c>
      <c r="O443" s="101" t="s">
        <v>722</v>
      </c>
      <c r="P443" s="116">
        <v>11.72</v>
      </c>
      <c r="Q443" s="116">
        <v>13.79</v>
      </c>
      <c r="R443" s="114" t="s">
        <v>722</v>
      </c>
      <c r="S443" s="113">
        <f>R396</f>
        <v>0.43</v>
      </c>
      <c r="T443" s="103" t="s">
        <v>722</v>
      </c>
      <c r="U443" s="124">
        <f>U442</f>
        <v>420</v>
      </c>
      <c r="V443" s="124">
        <f>V442</f>
        <v>650</v>
      </c>
      <c r="W443" s="142">
        <v>3</v>
      </c>
    </row>
    <row r="444" spans="2:23" ht="33.75" x14ac:dyDescent="0.25">
      <c r="B444" s="125"/>
      <c r="C444" s="186"/>
      <c r="D444" s="69" t="s">
        <v>632</v>
      </c>
      <c r="E444" s="73" t="s">
        <v>668</v>
      </c>
      <c r="F444" s="94" t="s">
        <v>672</v>
      </c>
      <c r="G444" s="138" t="str">
        <f>CONCATENATE("LVL","_",$C$432,"_",D444,"_",E444,"_",F444)</f>
        <v>LVL_LPSolidStart_SP LVL-S-Plus_Plat_//</v>
      </c>
      <c r="H444" s="75"/>
      <c r="I444" s="95">
        <v>49.2</v>
      </c>
      <c r="J444" s="95">
        <v>28.5</v>
      </c>
      <c r="K444" s="95" t="s">
        <v>722</v>
      </c>
      <c r="L444" s="95">
        <v>41.9</v>
      </c>
      <c r="M444" s="95">
        <v>3</v>
      </c>
      <c r="N444" s="101">
        <v>2.1</v>
      </c>
      <c r="O444" s="101" t="s">
        <v>722</v>
      </c>
      <c r="P444" s="116">
        <v>13.48</v>
      </c>
      <c r="Q444" s="97">
        <v>15.86</v>
      </c>
      <c r="R444" s="114" t="s">
        <v>722</v>
      </c>
      <c r="S444" s="113" t="str">
        <f>R394</f>
        <v>-</v>
      </c>
      <c r="T444" s="103" t="s">
        <v>722</v>
      </c>
      <c r="U444" s="100">
        <v>420</v>
      </c>
      <c r="V444" s="100">
        <v>650</v>
      </c>
      <c r="W444" s="142">
        <v>3</v>
      </c>
    </row>
    <row r="445" spans="2:23" ht="33.75" x14ac:dyDescent="0.25">
      <c r="B445" s="125"/>
      <c r="C445" s="186"/>
      <c r="D445" s="69"/>
      <c r="E445" s="73" t="s">
        <v>669</v>
      </c>
      <c r="F445" s="94" t="s">
        <v>672</v>
      </c>
      <c r="G445" s="138" t="str">
        <f>CONCATENATE("LVL","_",$C$432,"_",D444,"_",E445,"_",F445)</f>
        <v>LVL_LPSolidStart_SP LVL-S-Plus_Chant_//</v>
      </c>
      <c r="H445" s="75"/>
      <c r="I445" s="95">
        <v>49.3</v>
      </c>
      <c r="J445" s="112">
        <f>J444</f>
        <v>28.5</v>
      </c>
      <c r="K445" s="101">
        <v>0.7</v>
      </c>
      <c r="L445" s="112">
        <f>L444</f>
        <v>41.9</v>
      </c>
      <c r="M445" s="101">
        <v>6.5</v>
      </c>
      <c r="N445" s="95">
        <v>3.8</v>
      </c>
      <c r="O445" s="101" t="s">
        <v>722</v>
      </c>
      <c r="P445" s="116">
        <v>12.31</v>
      </c>
      <c r="Q445" s="116">
        <v>14.48</v>
      </c>
      <c r="R445" s="114" t="s">
        <v>722</v>
      </c>
      <c r="S445" s="113">
        <f>R396</f>
        <v>0.43</v>
      </c>
      <c r="T445" s="103" t="s">
        <v>722</v>
      </c>
      <c r="U445" s="124">
        <f>U444</f>
        <v>420</v>
      </c>
      <c r="V445" s="124">
        <f>V444</f>
        <v>650</v>
      </c>
      <c r="W445" s="142">
        <v>3</v>
      </c>
    </row>
    <row r="446" spans="2:23" ht="33.75" x14ac:dyDescent="0.25">
      <c r="B446" s="185" t="s">
        <v>589</v>
      </c>
      <c r="C446" s="186" t="s">
        <v>606</v>
      </c>
      <c r="D446" s="69" t="s">
        <v>633</v>
      </c>
      <c r="E446" s="73" t="s">
        <v>668</v>
      </c>
      <c r="F446" s="94" t="s">
        <v>672</v>
      </c>
      <c r="G446" s="138" t="str">
        <f>CONCATENATE("LSL","_",$C$446,"_",D446,"_",E446,"_",F447)</f>
        <v>LSL_LP SolidStart_LSL-Q Lite_Plat_//</v>
      </c>
      <c r="H446" s="75"/>
      <c r="I446" s="95">
        <v>27.7</v>
      </c>
      <c r="J446" s="95">
        <v>16.7</v>
      </c>
      <c r="K446" s="101" t="s">
        <v>722</v>
      </c>
      <c r="L446" s="95">
        <v>21.6</v>
      </c>
      <c r="M446" s="95">
        <v>3.8</v>
      </c>
      <c r="N446" s="101">
        <v>2.2000000000000002</v>
      </c>
      <c r="O446" s="101" t="s">
        <v>722</v>
      </c>
      <c r="P446" s="116">
        <v>7.9</v>
      </c>
      <c r="Q446" s="97">
        <v>9.3000000000000007</v>
      </c>
      <c r="R446" s="114" t="s">
        <v>722</v>
      </c>
      <c r="S446" s="97">
        <v>0.57999999999999996</v>
      </c>
      <c r="T446" s="103" t="s">
        <v>722</v>
      </c>
      <c r="U446" s="100">
        <v>430</v>
      </c>
      <c r="V446" s="100">
        <v>670</v>
      </c>
      <c r="W446" s="142">
        <v>3</v>
      </c>
    </row>
    <row r="447" spans="2:23" ht="33.75" x14ac:dyDescent="0.25">
      <c r="B447" s="185"/>
      <c r="C447" s="186"/>
      <c r="D447" s="69"/>
      <c r="E447" s="73" t="s">
        <v>669</v>
      </c>
      <c r="F447" s="94" t="s">
        <v>672</v>
      </c>
      <c r="G447" s="138" t="str">
        <f>CONCATENATE("LSL","_",$C$446,"_",D446,"_",E447,"_",F447)</f>
        <v>LSL_LP SolidStart_LSL-Q Lite_Chant_//</v>
      </c>
      <c r="H447" s="75"/>
      <c r="I447" s="95">
        <v>25.1</v>
      </c>
      <c r="J447" s="112">
        <f>J446</f>
        <v>16.7</v>
      </c>
      <c r="K447" s="101">
        <v>5</v>
      </c>
      <c r="L447" s="112">
        <f>L446</f>
        <v>21.6</v>
      </c>
      <c r="M447" s="101">
        <v>8</v>
      </c>
      <c r="N447" s="95">
        <v>8.9</v>
      </c>
      <c r="O447" s="101" t="s">
        <v>722</v>
      </c>
      <c r="P447" s="116">
        <v>7.9</v>
      </c>
      <c r="Q447" s="116">
        <v>9.3000000000000007</v>
      </c>
      <c r="R447" s="114" t="s">
        <v>722</v>
      </c>
      <c r="S447" s="116">
        <v>0.57999999999999996</v>
      </c>
      <c r="T447" s="103" t="s">
        <v>722</v>
      </c>
      <c r="U447" s="124">
        <f>U446</f>
        <v>430</v>
      </c>
      <c r="V447" s="124">
        <f>V446</f>
        <v>670</v>
      </c>
      <c r="W447" s="142">
        <v>3</v>
      </c>
    </row>
    <row r="448" spans="2:23" ht="33.75" x14ac:dyDescent="0.25">
      <c r="B448" s="185"/>
      <c r="C448" s="186"/>
      <c r="D448" s="69" t="s">
        <v>634</v>
      </c>
      <c r="E448" s="73" t="s">
        <v>668</v>
      </c>
      <c r="F448" s="94" t="s">
        <v>672</v>
      </c>
      <c r="G448" s="138" t="str">
        <f>CONCATENATE("LSL","_",$C$446,"_",D448,"_",E448,"_",F448)</f>
        <v>LSL_LP SolidStart_LSL-Q_Plat_//</v>
      </c>
      <c r="H448" s="75"/>
      <c r="I448" s="95">
        <v>37.9</v>
      </c>
      <c r="J448" s="95">
        <v>22.5</v>
      </c>
      <c r="K448" s="95"/>
      <c r="L448" s="95">
        <v>32.1</v>
      </c>
      <c r="M448" s="95">
        <v>3.8</v>
      </c>
      <c r="N448" s="101">
        <v>2.2000000000000002</v>
      </c>
      <c r="O448" s="101" t="s">
        <v>722</v>
      </c>
      <c r="P448" s="116">
        <v>9</v>
      </c>
      <c r="Q448" s="97">
        <v>10.6</v>
      </c>
      <c r="R448" s="114" t="s">
        <v>722</v>
      </c>
      <c r="S448" s="97">
        <v>0.67</v>
      </c>
      <c r="T448" s="103" t="s">
        <v>722</v>
      </c>
      <c r="U448" s="100">
        <v>430</v>
      </c>
      <c r="V448" s="100">
        <v>710</v>
      </c>
      <c r="W448" s="142">
        <v>3</v>
      </c>
    </row>
    <row r="449" spans="2:23" ht="33.75" x14ac:dyDescent="0.25">
      <c r="B449" s="185"/>
      <c r="C449" s="186"/>
      <c r="D449" s="69"/>
      <c r="E449" s="73" t="s">
        <v>669</v>
      </c>
      <c r="F449" s="94" t="s">
        <v>672</v>
      </c>
      <c r="G449" s="138" t="str">
        <f>CONCATENATE("LSL","_",$C$446,"_",D448,"_",E449,"_",F449)</f>
        <v>LSL_LP SolidStart_LSL-Q_Chant_//</v>
      </c>
      <c r="H449" s="75"/>
      <c r="I449" s="95">
        <v>34.200000000000003</v>
      </c>
      <c r="J449" s="112">
        <f>J448</f>
        <v>22.5</v>
      </c>
      <c r="K449" s="101">
        <v>5</v>
      </c>
      <c r="L449" s="112">
        <f>L448</f>
        <v>32.1</v>
      </c>
      <c r="M449" s="101">
        <v>8</v>
      </c>
      <c r="N449" s="95">
        <v>8.9</v>
      </c>
      <c r="O449" s="101" t="s">
        <v>722</v>
      </c>
      <c r="P449" s="116">
        <v>9</v>
      </c>
      <c r="Q449" s="116">
        <v>10.6</v>
      </c>
      <c r="R449" s="114" t="s">
        <v>722</v>
      </c>
      <c r="S449" s="116">
        <v>0.67</v>
      </c>
      <c r="T449" s="103" t="s">
        <v>722</v>
      </c>
      <c r="U449" s="124">
        <f>U448</f>
        <v>430</v>
      </c>
      <c r="V449" s="124">
        <f>V448</f>
        <v>710</v>
      </c>
      <c r="W449" s="142">
        <v>3</v>
      </c>
    </row>
    <row r="450" spans="2:23" ht="33.75" x14ac:dyDescent="0.25">
      <c r="B450" s="185"/>
      <c r="C450" s="186"/>
      <c r="D450" s="69" t="s">
        <v>635</v>
      </c>
      <c r="E450" s="73" t="s">
        <v>668</v>
      </c>
      <c r="F450" s="94" t="s">
        <v>672</v>
      </c>
      <c r="G450" s="138" t="str">
        <f>CONCATENATE("LSL","_",$C$446,"_",D450,"_",E450,"_",F450)</f>
        <v>LSL_LP SolidStart_LSL-G_Plat_//</v>
      </c>
      <c r="H450" s="75"/>
      <c r="I450" s="95">
        <v>40.5</v>
      </c>
      <c r="J450" s="95">
        <v>26.9</v>
      </c>
      <c r="K450" s="95"/>
      <c r="L450" s="95">
        <v>32.1</v>
      </c>
      <c r="M450" s="95">
        <v>3.8</v>
      </c>
      <c r="N450" s="101">
        <v>2.2000000000000002</v>
      </c>
      <c r="O450" s="101" t="s">
        <v>722</v>
      </c>
      <c r="P450" s="116">
        <v>10.199999999999999</v>
      </c>
      <c r="Q450" s="97">
        <v>12</v>
      </c>
      <c r="R450" s="114" t="s">
        <v>722</v>
      </c>
      <c r="S450" s="97">
        <v>0.75</v>
      </c>
      <c r="T450" s="103" t="s">
        <v>722</v>
      </c>
      <c r="U450" s="100">
        <v>430</v>
      </c>
      <c r="V450" s="100">
        <v>740</v>
      </c>
      <c r="W450" s="142">
        <v>3</v>
      </c>
    </row>
    <row r="451" spans="2:23" ht="33.75" x14ac:dyDescent="0.25">
      <c r="B451" s="185"/>
      <c r="C451" s="186"/>
      <c r="D451" s="69"/>
      <c r="E451" s="73" t="s">
        <v>669</v>
      </c>
      <c r="F451" s="94" t="s">
        <v>672</v>
      </c>
      <c r="G451" s="138" t="str">
        <f>CONCATENATE("LSL","_",C446,"_",D450,"_",E451,"_",F451)</f>
        <v>LSL_LP SolidStart_LSL-G_Chant_//</v>
      </c>
      <c r="H451" s="75"/>
      <c r="I451" s="95">
        <v>36.299999999999997</v>
      </c>
      <c r="J451" s="112">
        <f>J450</f>
        <v>26.9</v>
      </c>
      <c r="K451" s="101">
        <v>5</v>
      </c>
      <c r="L451" s="112">
        <f>L450</f>
        <v>32.1</v>
      </c>
      <c r="M451" s="101">
        <v>8</v>
      </c>
      <c r="N451" s="95">
        <v>8.9</v>
      </c>
      <c r="O451" s="101" t="s">
        <v>722</v>
      </c>
      <c r="P451" s="116">
        <v>10.199999999999999</v>
      </c>
      <c r="Q451" s="116">
        <v>12</v>
      </c>
      <c r="R451" s="114" t="s">
        <v>722</v>
      </c>
      <c r="S451" s="116">
        <v>0.75</v>
      </c>
      <c r="T451" s="103" t="s">
        <v>722</v>
      </c>
      <c r="U451" s="124">
        <f>U450</f>
        <v>430</v>
      </c>
      <c r="V451" s="124">
        <f>V450</f>
        <v>740</v>
      </c>
      <c r="W451" s="142">
        <v>3</v>
      </c>
    </row>
    <row r="452" spans="2:23" x14ac:dyDescent="0.25">
      <c r="B452" s="185" t="s">
        <v>590</v>
      </c>
      <c r="C452" s="72"/>
      <c r="D452" s="69" t="s">
        <v>636</v>
      </c>
      <c r="E452" s="73" t="s">
        <v>668</v>
      </c>
      <c r="F452" s="94" t="s">
        <v>672</v>
      </c>
      <c r="G452" s="138" t="str">
        <f>CONCATENATE("PW","_",D452,"_",E452,"_",F452)</f>
        <v>PW_Min_Plat_//</v>
      </c>
      <c r="H452" s="75"/>
      <c r="I452" s="126">
        <v>20</v>
      </c>
      <c r="J452" s="126">
        <v>12</v>
      </c>
      <c r="K452" s="126" t="s">
        <v>722</v>
      </c>
      <c r="L452" s="126">
        <v>15</v>
      </c>
      <c r="M452" s="126" t="s">
        <v>722</v>
      </c>
      <c r="N452" s="126" t="s">
        <v>722</v>
      </c>
      <c r="O452" s="126">
        <f>1.5*1.5</f>
        <v>2.25</v>
      </c>
      <c r="P452" s="127" t="s">
        <v>722</v>
      </c>
      <c r="Q452" s="127">
        <v>7.9</v>
      </c>
      <c r="R452" s="128" t="s">
        <v>722</v>
      </c>
      <c r="S452" s="127">
        <v>0.34499999999999997</v>
      </c>
      <c r="T452" s="129" t="s">
        <v>722</v>
      </c>
      <c r="U452" s="130">
        <v>390</v>
      </c>
      <c r="V452" s="130">
        <v>430</v>
      </c>
      <c r="W452" s="142">
        <v>4</v>
      </c>
    </row>
    <row r="453" spans="2:23" x14ac:dyDescent="0.25">
      <c r="B453" s="185"/>
      <c r="C453" s="72"/>
      <c r="D453" s="69"/>
      <c r="E453" s="73" t="s">
        <v>669</v>
      </c>
      <c r="F453" s="94" t="s">
        <v>672</v>
      </c>
      <c r="G453" s="138" t="str">
        <f>CONCATENATE("PW","_",D452,"_",E453,"_",F453)</f>
        <v>PW_Min_Chant_//</v>
      </c>
      <c r="H453" s="75"/>
      <c r="I453" s="126" t="s">
        <v>722</v>
      </c>
      <c r="J453" s="126" t="s">
        <v>722</v>
      </c>
      <c r="K453" s="126" t="s">
        <v>722</v>
      </c>
      <c r="L453" s="126" t="s">
        <v>722</v>
      </c>
      <c r="M453" s="126" t="s">
        <v>722</v>
      </c>
      <c r="N453" s="126">
        <v>4.2</v>
      </c>
      <c r="O453" s="126" t="s">
        <v>722</v>
      </c>
      <c r="P453" s="127" t="s">
        <v>722</v>
      </c>
      <c r="Q453" s="127" t="s">
        <v>722</v>
      </c>
      <c r="R453" s="128" t="s">
        <v>722</v>
      </c>
      <c r="S453" s="127" t="s">
        <v>722</v>
      </c>
      <c r="T453" s="129" t="s">
        <v>722</v>
      </c>
      <c r="U453" s="130">
        <f>U452</f>
        <v>390</v>
      </c>
      <c r="V453" s="130">
        <f>V452</f>
        <v>430</v>
      </c>
      <c r="W453" s="142">
        <v>4</v>
      </c>
    </row>
    <row r="454" spans="2:23" x14ac:dyDescent="0.25">
      <c r="B454" s="185"/>
      <c r="C454" s="72"/>
      <c r="D454" s="69" t="s">
        <v>637</v>
      </c>
      <c r="E454" s="73" t="s">
        <v>668</v>
      </c>
      <c r="F454" s="94" t="s">
        <v>672</v>
      </c>
      <c r="G454" s="138" t="str">
        <f>CONCATENATE("PW","_",D454,"_",E454,"_",F454)</f>
        <v>PW_Courant_Plat_//</v>
      </c>
      <c r="H454" s="75"/>
      <c r="I454" s="90">
        <f t="shared" ref="I454:O457" si="0">I398</f>
        <v>32</v>
      </c>
      <c r="J454" s="90">
        <f t="shared" si="0"/>
        <v>19</v>
      </c>
      <c r="K454" s="90" t="str">
        <f t="shared" si="0"/>
        <v>-</v>
      </c>
      <c r="L454" s="90">
        <f t="shared" si="0"/>
        <v>19</v>
      </c>
      <c r="M454" s="90">
        <f t="shared" si="0"/>
        <v>2.2000000000000002</v>
      </c>
      <c r="N454" s="90">
        <f t="shared" si="0"/>
        <v>1.3</v>
      </c>
      <c r="O454" s="90" t="str">
        <f t="shared" si="0"/>
        <v>-</v>
      </c>
      <c r="P454" s="91">
        <v>8.3000000000000007</v>
      </c>
      <c r="Q454" s="91">
        <v>10</v>
      </c>
      <c r="R454" s="131">
        <v>0.13</v>
      </c>
      <c r="S454" s="91">
        <v>0.06</v>
      </c>
      <c r="T454" s="92" t="s">
        <v>722</v>
      </c>
      <c r="U454" s="93">
        <f t="shared" ref="U454:V457" si="1">U398</f>
        <v>480</v>
      </c>
      <c r="V454" s="93">
        <f t="shared" si="1"/>
        <v>510</v>
      </c>
      <c r="W454" s="142">
        <v>4</v>
      </c>
    </row>
    <row r="455" spans="2:23" x14ac:dyDescent="0.25">
      <c r="B455" s="185"/>
      <c r="C455" s="72"/>
      <c r="D455" s="69"/>
      <c r="E455" s="73"/>
      <c r="F455" s="94" t="s">
        <v>673</v>
      </c>
      <c r="G455" s="138" t="str">
        <f>CONCATENATE("PW","_",D454,"_",E454,"_",F455)</f>
        <v>PW_Courant_Plat_┴</v>
      </c>
      <c r="H455" s="75"/>
      <c r="I455" s="90">
        <f t="shared" si="0"/>
        <v>8</v>
      </c>
      <c r="J455" s="90" t="str">
        <f t="shared" si="0"/>
        <v>-</v>
      </c>
      <c r="K455" s="90">
        <f t="shared" si="0"/>
        <v>19</v>
      </c>
      <c r="L455" s="90">
        <f t="shared" si="0"/>
        <v>9</v>
      </c>
      <c r="M455" s="90">
        <f t="shared" si="0"/>
        <v>2.2000000000000002</v>
      </c>
      <c r="N455" s="90">
        <f t="shared" si="0"/>
        <v>0.6</v>
      </c>
      <c r="O455" s="90" t="str">
        <f t="shared" si="0"/>
        <v>-</v>
      </c>
      <c r="P455" s="91">
        <v>1</v>
      </c>
      <c r="Q455" s="91">
        <v>1.2</v>
      </c>
      <c r="R455" s="131">
        <v>0.13</v>
      </c>
      <c r="S455" s="91">
        <v>2.1999999999999999E-2</v>
      </c>
      <c r="T455" s="92" t="s">
        <v>722</v>
      </c>
      <c r="U455" s="93">
        <f t="shared" si="1"/>
        <v>480</v>
      </c>
      <c r="V455" s="93">
        <f t="shared" si="1"/>
        <v>510</v>
      </c>
      <c r="W455" s="142">
        <v>4</v>
      </c>
    </row>
    <row r="456" spans="2:23" ht="22.5" x14ac:dyDescent="0.25">
      <c r="B456" s="185"/>
      <c r="C456" s="72"/>
      <c r="D456" s="69"/>
      <c r="E456" s="73" t="s">
        <v>669</v>
      </c>
      <c r="F456" s="94" t="s">
        <v>672</v>
      </c>
      <c r="G456" s="138" t="str">
        <f>CONCATENATE("PW","_",D454,"_",E456,"_",F456)</f>
        <v>PW_Courant_Chant_//</v>
      </c>
      <c r="H456" s="75"/>
      <c r="I456" s="90">
        <f t="shared" si="0"/>
        <v>28</v>
      </c>
      <c r="J456" s="90">
        <f t="shared" si="0"/>
        <v>19</v>
      </c>
      <c r="K456" s="90">
        <f t="shared" si="0"/>
        <v>6</v>
      </c>
      <c r="L456" s="90">
        <f t="shared" si="0"/>
        <v>19</v>
      </c>
      <c r="M456" s="90">
        <f t="shared" si="0"/>
        <v>9</v>
      </c>
      <c r="N456" s="90">
        <f t="shared" si="0"/>
        <v>4.5</v>
      </c>
      <c r="O456" s="90" t="str">
        <f t="shared" si="0"/>
        <v>-</v>
      </c>
      <c r="P456" s="91">
        <v>8.3000000000000007</v>
      </c>
      <c r="Q456" s="91">
        <v>10</v>
      </c>
      <c r="R456" s="131">
        <v>2.4</v>
      </c>
      <c r="S456" s="91">
        <v>0.6</v>
      </c>
      <c r="T456" s="92" t="s">
        <v>722</v>
      </c>
      <c r="U456" s="93">
        <f t="shared" si="1"/>
        <v>480</v>
      </c>
      <c r="V456" s="93">
        <f t="shared" si="1"/>
        <v>510</v>
      </c>
      <c r="W456" s="142">
        <v>4</v>
      </c>
    </row>
    <row r="457" spans="2:23" ht="22.5" x14ac:dyDescent="0.25">
      <c r="B457" s="185"/>
      <c r="C457" s="72"/>
      <c r="D457" s="69"/>
      <c r="E457" s="73"/>
      <c r="F457" s="94" t="s">
        <v>673</v>
      </c>
      <c r="G457" s="138" t="str">
        <f>CONCATENATE("PW","_",D454,"_",E456,"_",F457)</f>
        <v>PW_Courant_Chant_┴</v>
      </c>
      <c r="H457" s="75"/>
      <c r="I457" s="90" t="str">
        <f t="shared" si="0"/>
        <v>-</v>
      </c>
      <c r="J457" s="90">
        <f t="shared" si="0"/>
        <v>6</v>
      </c>
      <c r="K457" s="90">
        <f t="shared" si="0"/>
        <v>19</v>
      </c>
      <c r="L457" s="90">
        <f t="shared" si="0"/>
        <v>9</v>
      </c>
      <c r="M457" s="90">
        <f t="shared" si="0"/>
        <v>19</v>
      </c>
      <c r="N457" s="90">
        <f t="shared" si="0"/>
        <v>4.5</v>
      </c>
      <c r="O457" s="90" t="str">
        <f t="shared" si="0"/>
        <v>-</v>
      </c>
      <c r="P457" s="91" t="s">
        <v>722</v>
      </c>
      <c r="Q457" s="91" t="s">
        <v>722</v>
      </c>
      <c r="R457" s="131" t="s">
        <v>722</v>
      </c>
      <c r="S457" s="91" t="s">
        <v>722</v>
      </c>
      <c r="T457" s="92" t="s">
        <v>722</v>
      </c>
      <c r="U457" s="93">
        <f t="shared" si="1"/>
        <v>480</v>
      </c>
      <c r="V457" s="93">
        <f t="shared" si="1"/>
        <v>510</v>
      </c>
      <c r="W457" s="142">
        <v>4</v>
      </c>
    </row>
    <row r="458" spans="2:23" x14ac:dyDescent="0.25">
      <c r="B458" s="185"/>
      <c r="C458" s="72"/>
      <c r="D458" s="69" t="s">
        <v>638</v>
      </c>
      <c r="E458" s="73" t="s">
        <v>668</v>
      </c>
      <c r="F458" s="94" t="s">
        <v>672</v>
      </c>
      <c r="G458" s="138" t="str">
        <f>CONCATENATE("PW","_",D458,"_",E458,"_",F458)</f>
        <v>PW_Max_Plat_//</v>
      </c>
      <c r="H458" s="75"/>
      <c r="I458" s="126">
        <v>100</v>
      </c>
      <c r="J458" s="126">
        <v>60</v>
      </c>
      <c r="K458" s="126" t="s">
        <v>722</v>
      </c>
      <c r="L458" s="126">
        <v>75</v>
      </c>
      <c r="M458" s="126" t="s">
        <v>722</v>
      </c>
      <c r="N458" s="126" t="s">
        <v>722</v>
      </c>
      <c r="O458" s="126">
        <f>2.5*1.5</f>
        <v>3.75</v>
      </c>
      <c r="P458" s="127" t="s">
        <v>722</v>
      </c>
      <c r="Q458" s="127">
        <v>21.5</v>
      </c>
      <c r="R458" s="128" t="s">
        <v>722</v>
      </c>
      <c r="S458" s="127">
        <v>1.075</v>
      </c>
      <c r="T458" s="129" t="s">
        <v>722</v>
      </c>
      <c r="U458" s="130">
        <v>620</v>
      </c>
      <c r="V458" s="130">
        <v>690</v>
      </c>
      <c r="W458" s="142">
        <v>4</v>
      </c>
    </row>
    <row r="459" spans="2:23" x14ac:dyDescent="0.25">
      <c r="B459" s="185"/>
      <c r="C459" s="72"/>
      <c r="D459" s="69"/>
      <c r="E459" s="73" t="s">
        <v>669</v>
      </c>
      <c r="F459" s="94" t="s">
        <v>672</v>
      </c>
      <c r="G459" s="138" t="str">
        <f>CONCATENATE("PW","_",D458,"_",E459,"_",F459)</f>
        <v>PW_Max_Chant_//</v>
      </c>
      <c r="H459" s="75"/>
      <c r="I459" s="126" t="s">
        <v>722</v>
      </c>
      <c r="J459" s="126" t="s">
        <v>722</v>
      </c>
      <c r="K459" s="126" t="s">
        <v>722</v>
      </c>
      <c r="L459" s="126" t="s">
        <v>722</v>
      </c>
      <c r="M459" s="126" t="s">
        <v>722</v>
      </c>
      <c r="N459" s="126">
        <v>6.8</v>
      </c>
      <c r="O459" s="126" t="s">
        <v>722</v>
      </c>
      <c r="P459" s="127" t="s">
        <v>722</v>
      </c>
      <c r="Q459" s="127" t="s">
        <v>722</v>
      </c>
      <c r="R459" s="128" t="s">
        <v>722</v>
      </c>
      <c r="S459" s="127" t="s">
        <v>722</v>
      </c>
      <c r="T459" s="129" t="s">
        <v>722</v>
      </c>
      <c r="U459" s="130">
        <v>620</v>
      </c>
      <c r="V459" s="130">
        <v>690</v>
      </c>
      <c r="W459" s="142">
        <v>4</v>
      </c>
    </row>
    <row r="460" spans="2:23" x14ac:dyDescent="0.25">
      <c r="B460" s="185" t="s">
        <v>591</v>
      </c>
      <c r="C460" s="186">
        <v>2</v>
      </c>
      <c r="D460" s="69" t="s">
        <v>639</v>
      </c>
      <c r="E460" s="73" t="s">
        <v>668</v>
      </c>
      <c r="F460" s="94" t="s">
        <v>672</v>
      </c>
      <c r="G460" s="138" t="str">
        <f>CONCATENATE("OSB","_",C460,"_",D460,"_",E460,"_",F460)</f>
        <v>OSB_2_6à10_Plat_//</v>
      </c>
      <c r="H460" s="75"/>
      <c r="I460" s="95">
        <v>18</v>
      </c>
      <c r="J460" s="95">
        <v>9.9</v>
      </c>
      <c r="K460" s="101" t="s">
        <v>722</v>
      </c>
      <c r="L460" s="95">
        <v>15.9</v>
      </c>
      <c r="M460" s="101">
        <v>12.9</v>
      </c>
      <c r="N460" s="132">
        <f>O460</f>
        <v>1</v>
      </c>
      <c r="O460" s="95">
        <v>1</v>
      </c>
      <c r="P460" s="113">
        <f t="shared" ref="P460:P486" si="2">0.85*Q460</f>
        <v>4.1904999999999992</v>
      </c>
      <c r="Q460" s="97">
        <v>4.93</v>
      </c>
      <c r="R460" s="114">
        <v>1.98</v>
      </c>
      <c r="S460" s="97">
        <v>0.05</v>
      </c>
      <c r="T460" s="103" t="s">
        <v>722</v>
      </c>
      <c r="U460" s="100" t="s">
        <v>722</v>
      </c>
      <c r="V460" s="99">
        <v>550</v>
      </c>
      <c r="W460" s="142">
        <v>5</v>
      </c>
    </row>
    <row r="461" spans="2:23" x14ac:dyDescent="0.25">
      <c r="B461" s="185"/>
      <c r="C461" s="186"/>
      <c r="D461" s="69"/>
      <c r="E461" s="73"/>
      <c r="F461" s="94" t="s">
        <v>673</v>
      </c>
      <c r="G461" s="138" t="str">
        <f>CONCATENATE("OSB","_",C460,"_",D460,"_",E460,"_",F461)</f>
        <v>OSB_2_6à10_Plat_┴</v>
      </c>
      <c r="H461" s="75"/>
      <c r="I461" s="95">
        <v>9</v>
      </c>
      <c r="J461" s="95">
        <v>7.2</v>
      </c>
      <c r="K461" s="101" t="s">
        <v>722</v>
      </c>
      <c r="L461" s="95">
        <v>12.9</v>
      </c>
      <c r="M461" s="101" t="s">
        <v>722</v>
      </c>
      <c r="N461" s="101">
        <f>O460</f>
        <v>1</v>
      </c>
      <c r="O461" s="133">
        <f>N460</f>
        <v>1</v>
      </c>
      <c r="P461" s="113">
        <f t="shared" si="2"/>
        <v>1.6830000000000001</v>
      </c>
      <c r="Q461" s="113">
        <f>R460</f>
        <v>1.98</v>
      </c>
      <c r="R461" s="115">
        <f>Q460</f>
        <v>4.93</v>
      </c>
      <c r="S461" s="97">
        <v>0.05</v>
      </c>
      <c r="T461" s="103" t="s">
        <v>722</v>
      </c>
      <c r="U461" s="99" t="s">
        <v>722</v>
      </c>
      <c r="V461" s="99">
        <v>550</v>
      </c>
      <c r="W461" s="142">
        <v>5</v>
      </c>
    </row>
    <row r="462" spans="2:23" ht="22.5" x14ac:dyDescent="0.25">
      <c r="B462" s="185"/>
      <c r="C462" s="186"/>
      <c r="D462" s="69"/>
      <c r="E462" s="73" t="s">
        <v>669</v>
      </c>
      <c r="F462" s="94" t="s">
        <v>672</v>
      </c>
      <c r="G462" s="138" t="str">
        <f>CONCATENATE("OSB","_",C460,"_",D460,"_",E462,"_",F462)</f>
        <v>OSB_2_6à10_Chant_//</v>
      </c>
      <c r="H462" s="75"/>
      <c r="I462" s="112">
        <f>I460</f>
        <v>18</v>
      </c>
      <c r="J462" s="112">
        <f>J460</f>
        <v>9.9</v>
      </c>
      <c r="K462" s="101" t="s">
        <v>722</v>
      </c>
      <c r="L462" s="112">
        <f>L460</f>
        <v>15.9</v>
      </c>
      <c r="M462" s="112">
        <f>L461</f>
        <v>12.9</v>
      </c>
      <c r="N462" s="95">
        <v>6.8</v>
      </c>
      <c r="O462" s="101" t="s">
        <v>722</v>
      </c>
      <c r="P462" s="113">
        <f t="shared" si="2"/>
        <v>4.1904999999999992</v>
      </c>
      <c r="Q462" s="113">
        <f>Q460</f>
        <v>4.93</v>
      </c>
      <c r="R462" s="115" t="s">
        <v>722</v>
      </c>
      <c r="S462" s="116">
        <v>1.08</v>
      </c>
      <c r="T462" s="103" t="s">
        <v>722</v>
      </c>
      <c r="U462" s="124" t="s">
        <v>722</v>
      </c>
      <c r="V462" s="99">
        <v>550</v>
      </c>
      <c r="W462" s="142">
        <v>5</v>
      </c>
    </row>
    <row r="463" spans="2:23" ht="22.5" x14ac:dyDescent="0.25">
      <c r="B463" s="185"/>
      <c r="C463" s="186"/>
      <c r="D463" s="69" t="s">
        <v>640</v>
      </c>
      <c r="E463" s="73" t="s">
        <v>668</v>
      </c>
      <c r="F463" s="94" t="s">
        <v>672</v>
      </c>
      <c r="G463" s="138" t="str">
        <f>CONCATENATE("OSB","_",$C$460,"_",D463,"_",E463,"_",F463)</f>
        <v>OSB_2_11à18_Plat_//</v>
      </c>
      <c r="H463" s="75"/>
      <c r="I463" s="95">
        <v>16.399999999999999</v>
      </c>
      <c r="J463" s="95">
        <v>9.4</v>
      </c>
      <c r="K463" s="101" t="s">
        <v>722</v>
      </c>
      <c r="L463" s="95">
        <v>15.4</v>
      </c>
      <c r="M463" s="101">
        <v>12.7</v>
      </c>
      <c r="N463" s="132">
        <f>O463</f>
        <v>1</v>
      </c>
      <c r="O463" s="95">
        <v>1</v>
      </c>
      <c r="P463" s="113">
        <f t="shared" si="2"/>
        <v>4.1904999999999992</v>
      </c>
      <c r="Q463" s="97">
        <v>4.93</v>
      </c>
      <c r="R463" s="114">
        <v>1.98</v>
      </c>
      <c r="S463" s="97">
        <v>0.05</v>
      </c>
      <c r="T463" s="103" t="s">
        <v>722</v>
      </c>
      <c r="U463" s="99" t="s">
        <v>722</v>
      </c>
      <c r="V463" s="99">
        <v>550</v>
      </c>
      <c r="W463" s="142">
        <v>5</v>
      </c>
    </row>
    <row r="464" spans="2:23" ht="22.5" x14ac:dyDescent="0.25">
      <c r="B464" s="185"/>
      <c r="C464" s="186"/>
      <c r="D464" s="69"/>
      <c r="E464" s="73"/>
      <c r="F464" s="94" t="s">
        <v>673</v>
      </c>
      <c r="G464" s="138" t="str">
        <f>CONCATENATE("OSB","_",$C$460,"_",D463,"_",E463,"_",F464)</f>
        <v>OSB_2_11à18_Plat_┴</v>
      </c>
      <c r="H464" s="75"/>
      <c r="I464" s="95">
        <v>8.1999999999999993</v>
      </c>
      <c r="J464" s="95">
        <v>7</v>
      </c>
      <c r="K464" s="101" t="s">
        <v>722</v>
      </c>
      <c r="L464" s="95">
        <v>12.7</v>
      </c>
      <c r="M464" s="101" t="s">
        <v>722</v>
      </c>
      <c r="N464" s="101">
        <f>O463</f>
        <v>1</v>
      </c>
      <c r="O464" s="133">
        <f>N463</f>
        <v>1</v>
      </c>
      <c r="P464" s="113">
        <f t="shared" si="2"/>
        <v>1.6830000000000001</v>
      </c>
      <c r="Q464" s="113">
        <f>R463</f>
        <v>1.98</v>
      </c>
      <c r="R464" s="115">
        <f>Q463</f>
        <v>4.93</v>
      </c>
      <c r="S464" s="97">
        <v>0.05</v>
      </c>
      <c r="T464" s="103" t="s">
        <v>722</v>
      </c>
      <c r="U464" s="99" t="s">
        <v>722</v>
      </c>
      <c r="V464" s="99">
        <v>550</v>
      </c>
      <c r="W464" s="142">
        <v>5</v>
      </c>
    </row>
    <row r="465" spans="2:23" ht="22.5" x14ac:dyDescent="0.25">
      <c r="B465" s="185"/>
      <c r="C465" s="186"/>
      <c r="D465" s="69"/>
      <c r="E465" s="73" t="s">
        <v>669</v>
      </c>
      <c r="F465" s="94" t="s">
        <v>672</v>
      </c>
      <c r="G465" s="138" t="str">
        <f>CONCATENATE("OSB","_",$C$460,"_",D463,"_",E465,"_",F465)</f>
        <v>OSB_2_11à18_Chant_//</v>
      </c>
      <c r="H465" s="75"/>
      <c r="I465" s="112">
        <f>I463</f>
        <v>16.399999999999999</v>
      </c>
      <c r="J465" s="112">
        <f>J463</f>
        <v>9.4</v>
      </c>
      <c r="K465" s="101" t="s">
        <v>722</v>
      </c>
      <c r="L465" s="112">
        <f>L463</f>
        <v>15.4</v>
      </c>
      <c r="M465" s="112">
        <f>L464</f>
        <v>12.7</v>
      </c>
      <c r="N465" s="95">
        <v>6.8</v>
      </c>
      <c r="O465" s="101" t="s">
        <v>722</v>
      </c>
      <c r="P465" s="113">
        <f t="shared" si="2"/>
        <v>4.1904999999999992</v>
      </c>
      <c r="Q465" s="113">
        <f>Q463</f>
        <v>4.93</v>
      </c>
      <c r="R465" s="115" t="s">
        <v>722</v>
      </c>
      <c r="S465" s="116">
        <v>1.08</v>
      </c>
      <c r="T465" s="103" t="s">
        <v>722</v>
      </c>
      <c r="U465" s="124" t="s">
        <v>722</v>
      </c>
      <c r="V465" s="99">
        <v>550</v>
      </c>
      <c r="W465" s="142">
        <v>5</v>
      </c>
    </row>
    <row r="466" spans="2:23" ht="22.5" x14ac:dyDescent="0.25">
      <c r="B466" s="185"/>
      <c r="C466" s="186"/>
      <c r="D466" s="69" t="s">
        <v>641</v>
      </c>
      <c r="E466" s="73" t="s">
        <v>668</v>
      </c>
      <c r="F466" s="94" t="s">
        <v>672</v>
      </c>
      <c r="G466" s="138" t="str">
        <f>CONCATENATE("OSB","_",$C$460,"_",D466,"_",E466,"_",F466)</f>
        <v>OSB_2_19à25_Plat_//</v>
      </c>
      <c r="H466" s="75"/>
      <c r="I466" s="95">
        <v>14.8</v>
      </c>
      <c r="J466" s="95">
        <v>9</v>
      </c>
      <c r="K466" s="101" t="s">
        <v>722</v>
      </c>
      <c r="L466" s="95">
        <v>14.8</v>
      </c>
      <c r="M466" s="101">
        <v>12.4</v>
      </c>
      <c r="N466" s="133">
        <v>1</v>
      </c>
      <c r="O466" s="95">
        <v>1</v>
      </c>
      <c r="P466" s="113">
        <f t="shared" si="2"/>
        <v>4.1904999999999992</v>
      </c>
      <c r="Q466" s="97">
        <v>4.93</v>
      </c>
      <c r="R466" s="114">
        <v>1.98</v>
      </c>
      <c r="S466" s="97">
        <v>0.05</v>
      </c>
      <c r="T466" s="103" t="s">
        <v>722</v>
      </c>
      <c r="U466" s="99" t="s">
        <v>722</v>
      </c>
      <c r="V466" s="99">
        <v>550</v>
      </c>
      <c r="W466" s="142">
        <v>5</v>
      </c>
    </row>
    <row r="467" spans="2:23" ht="22.5" x14ac:dyDescent="0.25">
      <c r="B467" s="185"/>
      <c r="C467" s="186"/>
      <c r="D467" s="69"/>
      <c r="E467" s="73"/>
      <c r="F467" s="94" t="s">
        <v>673</v>
      </c>
      <c r="G467" s="138" t="str">
        <f>CONCATENATE("OSB","_",$C$460,"_",D466,"_",E466,"_",F467)</f>
        <v>OSB_2_19à25_Plat_┴</v>
      </c>
      <c r="H467" s="75"/>
      <c r="I467" s="95">
        <v>7.4</v>
      </c>
      <c r="J467" s="95">
        <v>6.8</v>
      </c>
      <c r="K467" s="101" t="s">
        <v>722</v>
      </c>
      <c r="L467" s="95">
        <v>12.4</v>
      </c>
      <c r="M467" s="101" t="s">
        <v>722</v>
      </c>
      <c r="N467" s="101">
        <f>O466</f>
        <v>1</v>
      </c>
      <c r="O467" s="133">
        <f>N466</f>
        <v>1</v>
      </c>
      <c r="P467" s="113">
        <f t="shared" si="2"/>
        <v>1.6830000000000001</v>
      </c>
      <c r="Q467" s="113">
        <f>R466</f>
        <v>1.98</v>
      </c>
      <c r="R467" s="115">
        <f>Q466</f>
        <v>4.93</v>
      </c>
      <c r="S467" s="97">
        <v>0.05</v>
      </c>
      <c r="T467" s="103" t="s">
        <v>722</v>
      </c>
      <c r="U467" s="99" t="s">
        <v>722</v>
      </c>
      <c r="V467" s="99">
        <v>550</v>
      </c>
      <c r="W467" s="142">
        <v>5</v>
      </c>
    </row>
    <row r="468" spans="2:23" ht="22.5" x14ac:dyDescent="0.25">
      <c r="B468" s="185"/>
      <c r="C468" s="186"/>
      <c r="D468" s="69"/>
      <c r="E468" s="73" t="s">
        <v>669</v>
      </c>
      <c r="F468" s="94" t="s">
        <v>672</v>
      </c>
      <c r="G468" s="138" t="str">
        <f>CONCATENATE("OSB","_",C460,"_",D466,"_",E468,"_",F468)</f>
        <v>OSB_2_19à25_Chant_//</v>
      </c>
      <c r="H468" s="75"/>
      <c r="I468" s="112">
        <f>I466</f>
        <v>14.8</v>
      </c>
      <c r="J468" s="112">
        <f>J466</f>
        <v>9</v>
      </c>
      <c r="K468" s="101" t="s">
        <v>722</v>
      </c>
      <c r="L468" s="112">
        <f>L466</f>
        <v>14.8</v>
      </c>
      <c r="M468" s="112">
        <f>L467</f>
        <v>12.4</v>
      </c>
      <c r="N468" s="95">
        <v>6.8</v>
      </c>
      <c r="O468" s="101" t="s">
        <v>722</v>
      </c>
      <c r="P468" s="113">
        <f t="shared" si="2"/>
        <v>4.1904999999999992</v>
      </c>
      <c r="Q468" s="113">
        <f>Q466</f>
        <v>4.93</v>
      </c>
      <c r="R468" s="115" t="s">
        <v>722</v>
      </c>
      <c r="S468" s="116">
        <v>1.08</v>
      </c>
      <c r="T468" s="103" t="s">
        <v>722</v>
      </c>
      <c r="U468" s="124" t="s">
        <v>722</v>
      </c>
      <c r="V468" s="99">
        <v>550</v>
      </c>
      <c r="W468" s="142">
        <v>5</v>
      </c>
    </row>
    <row r="469" spans="2:23" x14ac:dyDescent="0.25">
      <c r="B469" s="185"/>
      <c r="C469" s="186">
        <v>3</v>
      </c>
      <c r="D469" s="69" t="s">
        <v>639</v>
      </c>
      <c r="E469" s="73" t="s">
        <v>668</v>
      </c>
      <c r="F469" s="94" t="s">
        <v>672</v>
      </c>
      <c r="G469" s="138" t="str">
        <f>CONCATENATE("OSB","_",C469,"_",D469,"_",E469,"_",F469)</f>
        <v>OSB_3_6à10_Plat_//</v>
      </c>
      <c r="H469" s="75"/>
      <c r="I469" s="95">
        <v>18</v>
      </c>
      <c r="J469" s="95">
        <v>9.9</v>
      </c>
      <c r="K469" s="101" t="s">
        <v>722</v>
      </c>
      <c r="L469" s="95">
        <v>15.9</v>
      </c>
      <c r="M469" s="101">
        <v>12.9</v>
      </c>
      <c r="N469" s="132">
        <v>1</v>
      </c>
      <c r="O469" s="95">
        <v>1</v>
      </c>
      <c r="P469" s="113">
        <f t="shared" si="2"/>
        <v>4.1904999999999992</v>
      </c>
      <c r="Q469" s="97">
        <v>4.93</v>
      </c>
      <c r="R469" s="114">
        <v>1.98</v>
      </c>
      <c r="S469" s="97">
        <v>0.05</v>
      </c>
      <c r="T469" s="103" t="s">
        <v>722</v>
      </c>
      <c r="U469" s="100" t="s">
        <v>722</v>
      </c>
      <c r="V469" s="99">
        <v>550</v>
      </c>
      <c r="W469" s="142">
        <v>6</v>
      </c>
    </row>
    <row r="470" spans="2:23" x14ac:dyDescent="0.25">
      <c r="B470" s="185"/>
      <c r="C470" s="186"/>
      <c r="D470" s="69"/>
      <c r="E470" s="73"/>
      <c r="F470" s="94" t="s">
        <v>673</v>
      </c>
      <c r="G470" s="138" t="str">
        <f>CONCATENATE("OSB","_",C469,"_",D469,"_",E469,"_",F470)</f>
        <v>OSB_3_6à10_Plat_┴</v>
      </c>
      <c r="H470" s="75"/>
      <c r="I470" s="95">
        <v>9</v>
      </c>
      <c r="J470" s="95">
        <v>7.2</v>
      </c>
      <c r="K470" s="101" t="s">
        <v>722</v>
      </c>
      <c r="L470" s="95">
        <v>12.9</v>
      </c>
      <c r="M470" s="101" t="s">
        <v>722</v>
      </c>
      <c r="N470" s="101">
        <f>O469</f>
        <v>1</v>
      </c>
      <c r="O470" s="133">
        <f>N469</f>
        <v>1</v>
      </c>
      <c r="P470" s="113">
        <f t="shared" si="2"/>
        <v>1.6830000000000001</v>
      </c>
      <c r="Q470" s="113">
        <f>R469</f>
        <v>1.98</v>
      </c>
      <c r="R470" s="115">
        <f>Q469</f>
        <v>4.93</v>
      </c>
      <c r="S470" s="97">
        <v>0.05</v>
      </c>
      <c r="T470" s="103" t="s">
        <v>722</v>
      </c>
      <c r="U470" s="99" t="s">
        <v>722</v>
      </c>
      <c r="V470" s="99">
        <v>550</v>
      </c>
      <c r="W470" s="142">
        <v>6</v>
      </c>
    </row>
    <row r="471" spans="2:23" ht="22.5" x14ac:dyDescent="0.25">
      <c r="B471" s="185"/>
      <c r="C471" s="186"/>
      <c r="D471" s="69"/>
      <c r="E471" s="73" t="s">
        <v>669</v>
      </c>
      <c r="F471" s="94" t="s">
        <v>672</v>
      </c>
      <c r="G471" s="138" t="str">
        <f>CONCATENATE("OSB","_",C469,"_",D469,"_",E471,"_",F471)</f>
        <v>OSB_3_6à10_Chant_//</v>
      </c>
      <c r="H471" s="75"/>
      <c r="I471" s="112">
        <f>I469</f>
        <v>18</v>
      </c>
      <c r="J471" s="112">
        <f>J469</f>
        <v>9.9</v>
      </c>
      <c r="K471" s="101" t="s">
        <v>722</v>
      </c>
      <c r="L471" s="112">
        <f>L469</f>
        <v>15.9</v>
      </c>
      <c r="M471" s="112">
        <f>L470</f>
        <v>12.9</v>
      </c>
      <c r="N471" s="95">
        <v>6.8</v>
      </c>
      <c r="O471" s="101" t="s">
        <v>722</v>
      </c>
      <c r="P471" s="113">
        <f t="shared" si="2"/>
        <v>4.1904999999999992</v>
      </c>
      <c r="Q471" s="113">
        <f>Q469</f>
        <v>4.93</v>
      </c>
      <c r="R471" s="115" t="s">
        <v>722</v>
      </c>
      <c r="S471" s="116">
        <v>1.08</v>
      </c>
      <c r="T471" s="103" t="s">
        <v>722</v>
      </c>
      <c r="U471" s="124" t="s">
        <v>722</v>
      </c>
      <c r="V471" s="99">
        <v>550</v>
      </c>
      <c r="W471" s="142">
        <v>6</v>
      </c>
    </row>
    <row r="472" spans="2:23" ht="22.5" x14ac:dyDescent="0.25">
      <c r="B472" s="185"/>
      <c r="C472" s="186"/>
      <c r="D472" s="69" t="s">
        <v>640</v>
      </c>
      <c r="E472" s="73" t="s">
        <v>668</v>
      </c>
      <c r="F472" s="94" t="s">
        <v>672</v>
      </c>
      <c r="G472" s="138" t="str">
        <f>CONCATENATE("OSB","_",C469,"_",D472,"_",E472,"_",F472)</f>
        <v>OSB_3_11à18_Plat_//</v>
      </c>
      <c r="H472" s="75"/>
      <c r="I472" s="95">
        <v>16.399999999999999</v>
      </c>
      <c r="J472" s="95">
        <v>9.4</v>
      </c>
      <c r="K472" s="101" t="s">
        <v>722</v>
      </c>
      <c r="L472" s="95">
        <v>15.4</v>
      </c>
      <c r="M472" s="101">
        <v>12.7</v>
      </c>
      <c r="N472" s="132">
        <v>1</v>
      </c>
      <c r="O472" s="95">
        <v>1</v>
      </c>
      <c r="P472" s="113">
        <f t="shared" si="2"/>
        <v>4.1904999999999992</v>
      </c>
      <c r="Q472" s="97">
        <v>4.93</v>
      </c>
      <c r="R472" s="114">
        <v>1.98</v>
      </c>
      <c r="S472" s="97">
        <v>0.05</v>
      </c>
      <c r="T472" s="103" t="s">
        <v>722</v>
      </c>
      <c r="U472" s="99" t="s">
        <v>722</v>
      </c>
      <c r="V472" s="99">
        <v>550</v>
      </c>
      <c r="W472" s="142">
        <v>6</v>
      </c>
    </row>
    <row r="473" spans="2:23" ht="22.5" x14ac:dyDescent="0.25">
      <c r="B473" s="185"/>
      <c r="C473" s="186"/>
      <c r="D473" s="69"/>
      <c r="E473" s="73"/>
      <c r="F473" s="94" t="s">
        <v>673</v>
      </c>
      <c r="G473" s="138" t="str">
        <f>CONCATENATE("OSB","_",C469,"_",D472,"_",E472,"_",F473)</f>
        <v>OSB_3_11à18_Plat_┴</v>
      </c>
      <c r="H473" s="75"/>
      <c r="I473" s="95">
        <v>8.1999999999999993</v>
      </c>
      <c r="J473" s="95">
        <v>7</v>
      </c>
      <c r="K473" s="101" t="s">
        <v>722</v>
      </c>
      <c r="L473" s="95">
        <v>12.7</v>
      </c>
      <c r="M473" s="101" t="s">
        <v>722</v>
      </c>
      <c r="N473" s="101">
        <f>O472</f>
        <v>1</v>
      </c>
      <c r="O473" s="133">
        <f>N472</f>
        <v>1</v>
      </c>
      <c r="P473" s="113">
        <f t="shared" si="2"/>
        <v>1.6830000000000001</v>
      </c>
      <c r="Q473" s="113">
        <f>R472</f>
        <v>1.98</v>
      </c>
      <c r="R473" s="115">
        <f>Q472</f>
        <v>4.93</v>
      </c>
      <c r="S473" s="97">
        <v>0.05</v>
      </c>
      <c r="T473" s="103" t="s">
        <v>722</v>
      </c>
      <c r="U473" s="99" t="s">
        <v>722</v>
      </c>
      <c r="V473" s="99">
        <v>550</v>
      </c>
      <c r="W473" s="142">
        <v>6</v>
      </c>
    </row>
    <row r="474" spans="2:23" ht="22.5" x14ac:dyDescent="0.25">
      <c r="B474" s="185"/>
      <c r="C474" s="186"/>
      <c r="D474" s="69"/>
      <c r="E474" s="73" t="s">
        <v>669</v>
      </c>
      <c r="F474" s="94" t="s">
        <v>672</v>
      </c>
      <c r="G474" s="138" t="str">
        <f>CONCATENATE("OSB","_",C469,"_",D472,"_",E474,"_",F474)</f>
        <v>OSB_3_11à18_Chant_//</v>
      </c>
      <c r="H474" s="75"/>
      <c r="I474" s="112">
        <f>I472</f>
        <v>16.399999999999999</v>
      </c>
      <c r="J474" s="112">
        <f>J472</f>
        <v>9.4</v>
      </c>
      <c r="K474" s="101" t="s">
        <v>722</v>
      </c>
      <c r="L474" s="112">
        <f>L472</f>
        <v>15.4</v>
      </c>
      <c r="M474" s="112">
        <f>L473</f>
        <v>12.7</v>
      </c>
      <c r="N474" s="95">
        <v>6.8</v>
      </c>
      <c r="O474" s="101" t="s">
        <v>722</v>
      </c>
      <c r="P474" s="113">
        <f t="shared" si="2"/>
        <v>4.1904999999999992</v>
      </c>
      <c r="Q474" s="113">
        <f>Q472</f>
        <v>4.93</v>
      </c>
      <c r="R474" s="115" t="s">
        <v>722</v>
      </c>
      <c r="S474" s="116">
        <v>1.08</v>
      </c>
      <c r="T474" s="103" t="s">
        <v>722</v>
      </c>
      <c r="U474" s="124" t="s">
        <v>722</v>
      </c>
      <c r="V474" s="99">
        <v>550</v>
      </c>
      <c r="W474" s="142">
        <v>6</v>
      </c>
    </row>
    <row r="475" spans="2:23" ht="22.5" x14ac:dyDescent="0.25">
      <c r="B475" s="185"/>
      <c r="C475" s="186"/>
      <c r="D475" s="69" t="s">
        <v>641</v>
      </c>
      <c r="E475" s="73" t="s">
        <v>668</v>
      </c>
      <c r="F475" s="94" t="s">
        <v>672</v>
      </c>
      <c r="G475" s="138" t="str">
        <f>CONCATENATE("OSB","_",C469,"_",D475,"_",E475,"_",F475)</f>
        <v>OSB_3_19à25_Plat_//</v>
      </c>
      <c r="H475" s="75"/>
      <c r="I475" s="95">
        <v>14.8</v>
      </c>
      <c r="J475" s="95">
        <v>9</v>
      </c>
      <c r="K475" s="101" t="s">
        <v>722</v>
      </c>
      <c r="L475" s="95">
        <v>14.8</v>
      </c>
      <c r="M475" s="101">
        <v>12.4</v>
      </c>
      <c r="N475" s="132">
        <f>O476</f>
        <v>1</v>
      </c>
      <c r="O475" s="95">
        <v>1</v>
      </c>
      <c r="P475" s="113">
        <f t="shared" si="2"/>
        <v>4.1904999999999992</v>
      </c>
      <c r="Q475" s="97">
        <v>4.93</v>
      </c>
      <c r="R475" s="114">
        <v>1.98</v>
      </c>
      <c r="S475" s="97">
        <v>0.05</v>
      </c>
      <c r="T475" s="103" t="s">
        <v>722</v>
      </c>
      <c r="U475" s="99" t="s">
        <v>722</v>
      </c>
      <c r="V475" s="99">
        <v>550</v>
      </c>
      <c r="W475" s="142">
        <v>6</v>
      </c>
    </row>
    <row r="476" spans="2:23" ht="22.5" x14ac:dyDescent="0.25">
      <c r="B476" s="185"/>
      <c r="C476" s="186"/>
      <c r="D476" s="69"/>
      <c r="E476" s="73"/>
      <c r="F476" s="94" t="s">
        <v>673</v>
      </c>
      <c r="G476" s="138" t="str">
        <f>CONCATENATE("OSB","_",C469,"_",D475,"_",E475,"_",F476)</f>
        <v>OSB_3_19à25_Plat_┴</v>
      </c>
      <c r="H476" s="75"/>
      <c r="I476" s="95">
        <v>7.4</v>
      </c>
      <c r="J476" s="95">
        <v>6.8</v>
      </c>
      <c r="K476" s="101" t="s">
        <v>722</v>
      </c>
      <c r="L476" s="95">
        <v>12.4</v>
      </c>
      <c r="M476" s="101" t="s">
        <v>722</v>
      </c>
      <c r="N476" s="101">
        <f>O475</f>
        <v>1</v>
      </c>
      <c r="O476" s="133">
        <v>1</v>
      </c>
      <c r="P476" s="113">
        <f t="shared" si="2"/>
        <v>1.6830000000000001</v>
      </c>
      <c r="Q476" s="113">
        <f>R475</f>
        <v>1.98</v>
      </c>
      <c r="R476" s="115">
        <f>Q475</f>
        <v>4.93</v>
      </c>
      <c r="S476" s="97">
        <v>0.05</v>
      </c>
      <c r="T476" s="103" t="s">
        <v>722</v>
      </c>
      <c r="U476" s="99" t="s">
        <v>722</v>
      </c>
      <c r="V476" s="99">
        <v>550</v>
      </c>
      <c r="W476" s="142">
        <v>6</v>
      </c>
    </row>
    <row r="477" spans="2:23" ht="22.5" x14ac:dyDescent="0.25">
      <c r="B477" s="185"/>
      <c r="C477" s="186"/>
      <c r="D477" s="69"/>
      <c r="E477" s="73" t="s">
        <v>669</v>
      </c>
      <c r="F477" s="94" t="s">
        <v>672</v>
      </c>
      <c r="G477" s="138" t="str">
        <f>CONCATENATE("OSB","_",C469,"_",D475,"_",E477,"_",F477)</f>
        <v>OSB_3_19à25_Chant_//</v>
      </c>
      <c r="H477" s="75"/>
      <c r="I477" s="112">
        <f>I475</f>
        <v>14.8</v>
      </c>
      <c r="J477" s="112">
        <f>J475</f>
        <v>9</v>
      </c>
      <c r="K477" s="101" t="s">
        <v>722</v>
      </c>
      <c r="L477" s="112">
        <f>L475</f>
        <v>14.8</v>
      </c>
      <c r="M477" s="112">
        <f>L476</f>
        <v>12.4</v>
      </c>
      <c r="N477" s="95">
        <v>6.8</v>
      </c>
      <c r="O477" s="101" t="s">
        <v>722</v>
      </c>
      <c r="P477" s="113">
        <f t="shared" si="2"/>
        <v>4.1904999999999992</v>
      </c>
      <c r="Q477" s="113">
        <f>Q475</f>
        <v>4.93</v>
      </c>
      <c r="R477" s="115" t="s">
        <v>722</v>
      </c>
      <c r="S477" s="116">
        <v>1.08</v>
      </c>
      <c r="T477" s="103" t="s">
        <v>722</v>
      </c>
      <c r="U477" s="124" t="s">
        <v>722</v>
      </c>
      <c r="V477" s="99">
        <v>550</v>
      </c>
      <c r="W477" s="142">
        <v>6</v>
      </c>
    </row>
    <row r="478" spans="2:23" x14ac:dyDescent="0.25">
      <c r="B478" s="185"/>
      <c r="C478" s="186">
        <v>4</v>
      </c>
      <c r="D478" s="69" t="s">
        <v>639</v>
      </c>
      <c r="E478" s="73" t="s">
        <v>668</v>
      </c>
      <c r="F478" s="94" t="s">
        <v>672</v>
      </c>
      <c r="G478" s="138" t="str">
        <f>CONCATENATE("OSB","_",$C$478,"_",D478,"_",E478,"_",F478)</f>
        <v>OSB_4_6à10_Plat_//</v>
      </c>
      <c r="H478" s="75"/>
      <c r="I478" s="95">
        <v>24.5</v>
      </c>
      <c r="J478" s="95">
        <v>11.9</v>
      </c>
      <c r="K478" s="101" t="s">
        <v>722</v>
      </c>
      <c r="L478" s="95">
        <v>18.100000000000001</v>
      </c>
      <c r="M478" s="101" t="s">
        <v>722</v>
      </c>
      <c r="N478" s="132">
        <f>O479</f>
        <v>1.1000000000000001</v>
      </c>
      <c r="O478" s="95">
        <v>1.1000000000000001</v>
      </c>
      <c r="P478" s="113">
        <f t="shared" si="2"/>
        <v>5.7629999999999999</v>
      </c>
      <c r="Q478" s="97">
        <v>6.78</v>
      </c>
      <c r="R478" s="114">
        <v>2.68</v>
      </c>
      <c r="S478" s="97">
        <v>0.06</v>
      </c>
      <c r="T478" s="103" t="s">
        <v>722</v>
      </c>
      <c r="U478" s="99" t="s">
        <v>722</v>
      </c>
      <c r="V478" s="99">
        <v>550</v>
      </c>
      <c r="W478" s="142">
        <v>6</v>
      </c>
    </row>
    <row r="479" spans="2:23" x14ac:dyDescent="0.25">
      <c r="B479" s="185"/>
      <c r="C479" s="186"/>
      <c r="D479" s="69"/>
      <c r="E479" s="73"/>
      <c r="F479" s="94" t="s">
        <v>673</v>
      </c>
      <c r="G479" s="138" t="str">
        <f>CONCATENATE("OSB","_",$C$478,"_",D478,"_",E478,"_",F479)</f>
        <v>OSB_4_6à10_Plat_┴</v>
      </c>
      <c r="H479" s="75"/>
      <c r="I479" s="95">
        <v>13</v>
      </c>
      <c r="J479" s="95">
        <v>8.5</v>
      </c>
      <c r="K479" s="101" t="s">
        <v>722</v>
      </c>
      <c r="L479" s="95">
        <v>14.3</v>
      </c>
      <c r="M479" s="101" t="s">
        <v>722</v>
      </c>
      <c r="N479" s="101">
        <f>O478</f>
        <v>1.1000000000000001</v>
      </c>
      <c r="O479" s="133">
        <v>1.1000000000000001</v>
      </c>
      <c r="P479" s="113">
        <f t="shared" si="2"/>
        <v>2.278</v>
      </c>
      <c r="Q479" s="113">
        <f>R478</f>
        <v>2.68</v>
      </c>
      <c r="R479" s="115">
        <f>Q478</f>
        <v>6.78</v>
      </c>
      <c r="S479" s="97">
        <v>0.06</v>
      </c>
      <c r="T479" s="103" t="s">
        <v>722</v>
      </c>
      <c r="U479" s="99" t="s">
        <v>722</v>
      </c>
      <c r="V479" s="99">
        <v>550</v>
      </c>
      <c r="W479" s="142">
        <v>6</v>
      </c>
    </row>
    <row r="480" spans="2:23" ht="22.5" x14ac:dyDescent="0.25">
      <c r="B480" s="185"/>
      <c r="C480" s="186"/>
      <c r="D480" s="69"/>
      <c r="E480" s="73" t="s">
        <v>669</v>
      </c>
      <c r="F480" s="94" t="s">
        <v>672</v>
      </c>
      <c r="G480" s="138" t="str">
        <f>CONCATENATE("OSB","_",$C$478,"_",D478,"_",E480,"_",F480)</f>
        <v>OSB_4_6à10_Chant_//</v>
      </c>
      <c r="H480" s="75"/>
      <c r="I480" s="112">
        <f>I478</f>
        <v>24.5</v>
      </c>
      <c r="J480" s="112">
        <f>J478</f>
        <v>11.9</v>
      </c>
      <c r="K480" s="101" t="s">
        <v>722</v>
      </c>
      <c r="L480" s="112">
        <f>L478</f>
        <v>18.100000000000001</v>
      </c>
      <c r="M480" s="112">
        <f>L479</f>
        <v>14.3</v>
      </c>
      <c r="N480" s="95">
        <v>6.9</v>
      </c>
      <c r="O480" s="101" t="s">
        <v>722</v>
      </c>
      <c r="P480" s="113">
        <f t="shared" si="2"/>
        <v>5.7629999999999999</v>
      </c>
      <c r="Q480" s="113">
        <f>Q478</f>
        <v>6.78</v>
      </c>
      <c r="R480" s="115" t="s">
        <v>722</v>
      </c>
      <c r="S480" s="116">
        <v>1.0900000000000001</v>
      </c>
      <c r="T480" s="103" t="s">
        <v>722</v>
      </c>
      <c r="U480" s="124" t="s">
        <v>722</v>
      </c>
      <c r="V480" s="99">
        <v>550</v>
      </c>
      <c r="W480" s="142">
        <v>6</v>
      </c>
    </row>
    <row r="481" spans="2:23" ht="22.5" x14ac:dyDescent="0.25">
      <c r="B481" s="185"/>
      <c r="C481" s="186"/>
      <c r="D481" s="69" t="s">
        <v>640</v>
      </c>
      <c r="E481" s="73" t="s">
        <v>668</v>
      </c>
      <c r="F481" s="94" t="s">
        <v>672</v>
      </c>
      <c r="G481" s="138" t="str">
        <f>CONCATENATE("OSB","_",$C$478,"_",D481,"_",E481,"_",F481)</f>
        <v>OSB_4_11à18_Plat_//</v>
      </c>
      <c r="H481" s="75"/>
      <c r="I481" s="95">
        <v>23</v>
      </c>
      <c r="J481" s="95">
        <v>11.4</v>
      </c>
      <c r="K481" s="101" t="s">
        <v>722</v>
      </c>
      <c r="L481" s="95">
        <v>17.600000000000001</v>
      </c>
      <c r="M481" s="101" t="s">
        <v>722</v>
      </c>
      <c r="N481" s="132">
        <f>O482</f>
        <v>1.1000000000000001</v>
      </c>
      <c r="O481" s="95">
        <v>1.1000000000000001</v>
      </c>
      <c r="P481" s="113">
        <f t="shared" si="2"/>
        <v>5.7629999999999999</v>
      </c>
      <c r="Q481" s="97">
        <v>6.78</v>
      </c>
      <c r="R481" s="114">
        <v>2.68</v>
      </c>
      <c r="S481" s="97">
        <v>0.06</v>
      </c>
      <c r="T481" s="103" t="s">
        <v>722</v>
      </c>
      <c r="U481" s="99" t="s">
        <v>722</v>
      </c>
      <c r="V481" s="99">
        <v>550</v>
      </c>
      <c r="W481" s="142">
        <v>6</v>
      </c>
    </row>
    <row r="482" spans="2:23" ht="22.5" x14ac:dyDescent="0.25">
      <c r="B482" s="185"/>
      <c r="C482" s="186"/>
      <c r="D482" s="69"/>
      <c r="E482" s="73"/>
      <c r="F482" s="94" t="s">
        <v>673</v>
      </c>
      <c r="G482" s="138" t="str">
        <f>CONCATENATE("OSB","_",$C$478,"_",D481,"_",E481,"_",F482)</f>
        <v>OSB_4_11à18_Plat_┴</v>
      </c>
      <c r="H482" s="75"/>
      <c r="I482" s="95">
        <v>12.2</v>
      </c>
      <c r="J482" s="95">
        <v>8.1999999999999993</v>
      </c>
      <c r="K482" s="101" t="s">
        <v>722</v>
      </c>
      <c r="L482" s="95">
        <v>14</v>
      </c>
      <c r="M482" s="101" t="s">
        <v>722</v>
      </c>
      <c r="N482" s="101">
        <f>O481</f>
        <v>1.1000000000000001</v>
      </c>
      <c r="O482" s="133">
        <v>1.1000000000000001</v>
      </c>
      <c r="P482" s="113">
        <f t="shared" si="2"/>
        <v>2.278</v>
      </c>
      <c r="Q482" s="113">
        <f>R481</f>
        <v>2.68</v>
      </c>
      <c r="R482" s="115">
        <f>Q481</f>
        <v>6.78</v>
      </c>
      <c r="S482" s="97">
        <v>0.06</v>
      </c>
      <c r="T482" s="103" t="s">
        <v>722</v>
      </c>
      <c r="U482" s="99" t="s">
        <v>722</v>
      </c>
      <c r="V482" s="99">
        <v>550</v>
      </c>
      <c r="W482" s="142">
        <v>6</v>
      </c>
    </row>
    <row r="483" spans="2:23" ht="22.5" x14ac:dyDescent="0.25">
      <c r="B483" s="185"/>
      <c r="C483" s="186"/>
      <c r="D483" s="69"/>
      <c r="E483" s="73" t="s">
        <v>669</v>
      </c>
      <c r="F483" s="94" t="s">
        <v>672</v>
      </c>
      <c r="G483" s="138" t="str">
        <f>CONCATENATE("OSB","_",$C$478,"_",D481,"_",E483,"_",F483)</f>
        <v>OSB_4_11à18_Chant_//</v>
      </c>
      <c r="H483" s="75"/>
      <c r="I483" s="112">
        <f>I481</f>
        <v>23</v>
      </c>
      <c r="J483" s="112">
        <f>J481</f>
        <v>11.4</v>
      </c>
      <c r="K483" s="101" t="s">
        <v>722</v>
      </c>
      <c r="L483" s="112">
        <f>L481</f>
        <v>17.600000000000001</v>
      </c>
      <c r="M483" s="112">
        <f>L482</f>
        <v>14</v>
      </c>
      <c r="N483" s="95">
        <v>6.9</v>
      </c>
      <c r="O483" s="101" t="s">
        <v>722</v>
      </c>
      <c r="P483" s="113">
        <f t="shared" si="2"/>
        <v>5.7629999999999999</v>
      </c>
      <c r="Q483" s="113">
        <f>Q481</f>
        <v>6.78</v>
      </c>
      <c r="R483" s="115" t="s">
        <v>722</v>
      </c>
      <c r="S483" s="116">
        <v>1.0900000000000001</v>
      </c>
      <c r="T483" s="103" t="s">
        <v>722</v>
      </c>
      <c r="U483" s="124" t="s">
        <v>722</v>
      </c>
      <c r="V483" s="99">
        <v>550</v>
      </c>
      <c r="W483" s="142">
        <v>6</v>
      </c>
    </row>
    <row r="484" spans="2:23" ht="22.5" x14ac:dyDescent="0.25">
      <c r="B484" s="185"/>
      <c r="C484" s="186"/>
      <c r="D484" s="69" t="s">
        <v>641</v>
      </c>
      <c r="E484" s="73" t="s">
        <v>668</v>
      </c>
      <c r="F484" s="94" t="s">
        <v>672</v>
      </c>
      <c r="G484" s="138" t="str">
        <f>CONCATENATE("OSB","_",$C$478,"_",D484,"_",E484,"_",F484)</f>
        <v>OSB_4_19à25_Plat_//</v>
      </c>
      <c r="H484" s="75"/>
      <c r="I484" s="95">
        <v>21</v>
      </c>
      <c r="J484" s="95">
        <v>10.9</v>
      </c>
      <c r="K484" s="101" t="s">
        <v>722</v>
      </c>
      <c r="L484" s="95">
        <v>17</v>
      </c>
      <c r="M484" s="101" t="s">
        <v>722</v>
      </c>
      <c r="N484" s="132">
        <f>O485</f>
        <v>1.1000000000000001</v>
      </c>
      <c r="O484" s="95">
        <v>1.1000000000000001</v>
      </c>
      <c r="P484" s="113">
        <f t="shared" si="2"/>
        <v>5.7629999999999999</v>
      </c>
      <c r="Q484" s="97">
        <v>6.78</v>
      </c>
      <c r="R484" s="114">
        <v>2.68</v>
      </c>
      <c r="S484" s="97">
        <v>0.06</v>
      </c>
      <c r="T484" s="103" t="s">
        <v>722</v>
      </c>
      <c r="U484" s="99" t="s">
        <v>722</v>
      </c>
      <c r="V484" s="99">
        <v>550</v>
      </c>
      <c r="W484" s="142">
        <v>6</v>
      </c>
    </row>
    <row r="485" spans="2:23" ht="22.5" x14ac:dyDescent="0.25">
      <c r="B485" s="185"/>
      <c r="C485" s="186"/>
      <c r="D485" s="69"/>
      <c r="E485" s="73"/>
      <c r="F485" s="94" t="s">
        <v>673</v>
      </c>
      <c r="G485" s="138" t="str">
        <f>CONCATENATE("OSB","_",$C$478,"_",D484,"_",E484,"_",F485)</f>
        <v>OSB_4_19à25_Plat_┴</v>
      </c>
      <c r="H485" s="75"/>
      <c r="I485" s="95">
        <v>11.4</v>
      </c>
      <c r="J485" s="95">
        <v>8</v>
      </c>
      <c r="K485" s="101" t="s">
        <v>722</v>
      </c>
      <c r="L485" s="95">
        <v>13.7</v>
      </c>
      <c r="M485" s="101" t="s">
        <v>722</v>
      </c>
      <c r="N485" s="101">
        <f>O484</f>
        <v>1.1000000000000001</v>
      </c>
      <c r="O485" s="133">
        <v>1.1000000000000001</v>
      </c>
      <c r="P485" s="113">
        <f t="shared" si="2"/>
        <v>2.278</v>
      </c>
      <c r="Q485" s="113">
        <f>R484</f>
        <v>2.68</v>
      </c>
      <c r="R485" s="115">
        <f>Q484</f>
        <v>6.78</v>
      </c>
      <c r="S485" s="97">
        <v>0.06</v>
      </c>
      <c r="T485" s="103" t="s">
        <v>722</v>
      </c>
      <c r="U485" s="99" t="s">
        <v>722</v>
      </c>
      <c r="V485" s="99">
        <v>550</v>
      </c>
      <c r="W485" s="142">
        <v>6</v>
      </c>
    </row>
    <row r="486" spans="2:23" ht="22.5" x14ac:dyDescent="0.25">
      <c r="B486" s="185"/>
      <c r="C486" s="186"/>
      <c r="D486" s="69"/>
      <c r="E486" s="73" t="s">
        <v>669</v>
      </c>
      <c r="F486" s="94" t="s">
        <v>672</v>
      </c>
      <c r="G486" s="138" t="str">
        <f>CONCATENATE("OSB","_",$C$478,"_",D484,"_",E486,"_",F486)</f>
        <v>OSB_4_19à25_Chant_//</v>
      </c>
      <c r="H486" s="75"/>
      <c r="I486" s="112">
        <f>I484</f>
        <v>21</v>
      </c>
      <c r="J486" s="112">
        <f>J484</f>
        <v>10.9</v>
      </c>
      <c r="K486" s="101" t="s">
        <v>722</v>
      </c>
      <c r="L486" s="112">
        <f>L484</f>
        <v>17</v>
      </c>
      <c r="M486" s="112">
        <f>L485</f>
        <v>13.7</v>
      </c>
      <c r="N486" s="95">
        <v>6.9</v>
      </c>
      <c r="O486" s="101" t="s">
        <v>722</v>
      </c>
      <c r="P486" s="113">
        <f t="shared" si="2"/>
        <v>5.7629999999999999</v>
      </c>
      <c r="Q486" s="113">
        <f>Q484</f>
        <v>6.78</v>
      </c>
      <c r="R486" s="115" t="s">
        <v>722</v>
      </c>
      <c r="S486" s="116">
        <v>1.0900000000000001</v>
      </c>
      <c r="T486" s="103" t="s">
        <v>722</v>
      </c>
      <c r="U486" s="124" t="s">
        <v>722</v>
      </c>
      <c r="V486" s="99">
        <v>550</v>
      </c>
      <c r="W486" s="142">
        <v>6</v>
      </c>
    </row>
    <row r="487" spans="2:23" x14ac:dyDescent="0.25">
      <c r="B487" s="185" t="s">
        <v>592</v>
      </c>
      <c r="C487" s="72" t="s">
        <v>607</v>
      </c>
      <c r="D487" s="69" t="s">
        <v>642</v>
      </c>
      <c r="E487" s="73" t="s">
        <v>668</v>
      </c>
      <c r="F487" s="94"/>
      <c r="G487" s="138" t="str">
        <f>CONCATENATE("Agglo","_",$C$487,"_",D487,"_",E487)</f>
        <v>Agglo_P4_6à13_Plat</v>
      </c>
      <c r="H487" s="75"/>
      <c r="I487" s="95">
        <v>14.2</v>
      </c>
      <c r="J487" s="95">
        <v>8.9</v>
      </c>
      <c r="K487" s="101" t="s">
        <v>722</v>
      </c>
      <c r="L487" s="95">
        <v>12</v>
      </c>
      <c r="M487" s="101" t="s">
        <v>722</v>
      </c>
      <c r="N487" s="101" t="s">
        <v>722</v>
      </c>
      <c r="O487" s="95">
        <v>1.8</v>
      </c>
      <c r="P487" s="113">
        <f t="shared" ref="P487:P518" si="3">0.8*Q487</f>
        <v>2.5600000000000005</v>
      </c>
      <c r="Q487" s="97">
        <v>3.2</v>
      </c>
      <c r="R487" s="114" t="s">
        <v>722</v>
      </c>
      <c r="S487" s="116" t="s">
        <v>722</v>
      </c>
      <c r="T487" s="103" t="s">
        <v>722</v>
      </c>
      <c r="U487" s="99" t="s">
        <v>722</v>
      </c>
      <c r="V487" s="100">
        <v>650</v>
      </c>
      <c r="W487" s="142">
        <v>7</v>
      </c>
    </row>
    <row r="488" spans="2:23" ht="22.5" x14ac:dyDescent="0.25">
      <c r="B488" s="185"/>
      <c r="C488" s="72"/>
      <c r="D488" s="69"/>
      <c r="E488" s="73" t="s">
        <v>669</v>
      </c>
      <c r="F488" s="94"/>
      <c r="G488" s="138" t="str">
        <f>CONCATENATE("Agglo","_",$C$487,"_",D487,"_",E488)</f>
        <v>Agglo_P4_6à13_Chant</v>
      </c>
      <c r="H488" s="75"/>
      <c r="I488" s="112">
        <f>I487</f>
        <v>14.2</v>
      </c>
      <c r="J488" s="112">
        <f>J487</f>
        <v>8.9</v>
      </c>
      <c r="K488" s="101" t="s">
        <v>722</v>
      </c>
      <c r="L488" s="112">
        <f>L487</f>
        <v>12</v>
      </c>
      <c r="M488" s="112">
        <f>L487</f>
        <v>12</v>
      </c>
      <c r="N488" s="95">
        <v>6.6</v>
      </c>
      <c r="O488" s="101" t="s">
        <v>722</v>
      </c>
      <c r="P488" s="113">
        <f t="shared" si="3"/>
        <v>2.5600000000000005</v>
      </c>
      <c r="Q488" s="113">
        <f>Q487</f>
        <v>3.2</v>
      </c>
      <c r="R488" s="115" t="s">
        <v>722</v>
      </c>
      <c r="S488" s="116">
        <v>0.86</v>
      </c>
      <c r="T488" s="103" t="s">
        <v>722</v>
      </c>
      <c r="U488" s="124" t="s">
        <v>722</v>
      </c>
      <c r="V488" s="100">
        <v>650</v>
      </c>
      <c r="W488" s="142">
        <v>7</v>
      </c>
    </row>
    <row r="489" spans="2:23" ht="22.5" x14ac:dyDescent="0.25">
      <c r="B489" s="185"/>
      <c r="C489" s="72"/>
      <c r="D489" s="69" t="s">
        <v>643</v>
      </c>
      <c r="E489" s="73" t="s">
        <v>668</v>
      </c>
      <c r="F489" s="94"/>
      <c r="G489" s="138" t="str">
        <f>CONCATENATE("Agglo","_",$C$487,"_",D489,"_",E489)</f>
        <v>Agglo_P4_14à20_Plat</v>
      </c>
      <c r="H489" s="75"/>
      <c r="I489" s="95">
        <v>12.52</v>
      </c>
      <c r="J489" s="95">
        <v>7.9</v>
      </c>
      <c r="K489" s="101" t="s">
        <v>722</v>
      </c>
      <c r="L489" s="95">
        <v>11.1</v>
      </c>
      <c r="M489" s="101" t="s">
        <v>722</v>
      </c>
      <c r="N489" s="101" t="s">
        <v>722</v>
      </c>
      <c r="O489" s="95">
        <v>1.6</v>
      </c>
      <c r="P489" s="113">
        <f t="shared" si="3"/>
        <v>2.3199999999999998</v>
      </c>
      <c r="Q489" s="97">
        <v>2.9</v>
      </c>
      <c r="R489" s="114" t="s">
        <v>722</v>
      </c>
      <c r="S489" s="116" t="s">
        <v>722</v>
      </c>
      <c r="T489" s="103" t="s">
        <v>722</v>
      </c>
      <c r="U489" s="99" t="s">
        <v>722</v>
      </c>
      <c r="V489" s="100">
        <v>600</v>
      </c>
      <c r="W489" s="142">
        <v>7</v>
      </c>
    </row>
    <row r="490" spans="2:23" ht="22.5" x14ac:dyDescent="0.25">
      <c r="B490" s="185"/>
      <c r="C490" s="72"/>
      <c r="D490" s="69"/>
      <c r="E490" s="73" t="s">
        <v>669</v>
      </c>
      <c r="F490" s="94"/>
      <c r="G490" s="138" t="str">
        <f>CONCATENATE("Agglo","_",$C$487,"_",D489,"_",E490)</f>
        <v>Agglo_P4_14à20_Chant</v>
      </c>
      <c r="H490" s="75"/>
      <c r="I490" s="112">
        <f>I489</f>
        <v>12.52</v>
      </c>
      <c r="J490" s="112">
        <f>J489</f>
        <v>7.9</v>
      </c>
      <c r="K490" s="101" t="s">
        <v>722</v>
      </c>
      <c r="L490" s="112">
        <f>L489</f>
        <v>11.1</v>
      </c>
      <c r="M490" s="112">
        <f>L489</f>
        <v>11.1</v>
      </c>
      <c r="N490" s="95">
        <v>6.1</v>
      </c>
      <c r="O490" s="101" t="s">
        <v>722</v>
      </c>
      <c r="P490" s="113">
        <f t="shared" si="3"/>
        <v>2.3199999999999998</v>
      </c>
      <c r="Q490" s="113">
        <f>Q489</f>
        <v>2.9</v>
      </c>
      <c r="R490" s="115" t="s">
        <v>722</v>
      </c>
      <c r="S490" s="116">
        <v>0.83</v>
      </c>
      <c r="T490" s="103" t="s">
        <v>722</v>
      </c>
      <c r="U490" s="124" t="s">
        <v>722</v>
      </c>
      <c r="V490" s="100">
        <v>600</v>
      </c>
      <c r="W490" s="142">
        <v>7</v>
      </c>
    </row>
    <row r="491" spans="2:23" ht="22.5" x14ac:dyDescent="0.25">
      <c r="B491" s="185"/>
      <c r="C491" s="72"/>
      <c r="D491" s="69" t="s">
        <v>644</v>
      </c>
      <c r="E491" s="73" t="s">
        <v>668</v>
      </c>
      <c r="F491" s="94"/>
      <c r="G491" s="138" t="str">
        <f>CONCATENATE("Agglo","_",$C$487,"_",D491,"_",E491)</f>
        <v>Agglo_P4_21à25_Plat</v>
      </c>
      <c r="H491" s="75"/>
      <c r="I491" s="95">
        <v>10.8</v>
      </c>
      <c r="J491" s="95">
        <v>6.9</v>
      </c>
      <c r="K491" s="101" t="s">
        <v>722</v>
      </c>
      <c r="L491" s="95">
        <v>9.6</v>
      </c>
      <c r="M491" s="101" t="s">
        <v>722</v>
      </c>
      <c r="N491" s="101" t="s">
        <v>722</v>
      </c>
      <c r="O491" s="95">
        <v>1.4</v>
      </c>
      <c r="P491" s="113">
        <f t="shared" si="3"/>
        <v>2.16</v>
      </c>
      <c r="Q491" s="97">
        <v>2.7</v>
      </c>
      <c r="R491" s="114" t="s">
        <v>722</v>
      </c>
      <c r="S491" s="116" t="s">
        <v>722</v>
      </c>
      <c r="T491" s="103" t="s">
        <v>722</v>
      </c>
      <c r="U491" s="99" t="s">
        <v>722</v>
      </c>
      <c r="V491" s="100">
        <v>550</v>
      </c>
      <c r="W491" s="142">
        <v>7</v>
      </c>
    </row>
    <row r="492" spans="2:23" ht="22.5" x14ac:dyDescent="0.25">
      <c r="B492" s="185"/>
      <c r="C492" s="72"/>
      <c r="D492" s="69"/>
      <c r="E492" s="73" t="s">
        <v>669</v>
      </c>
      <c r="F492" s="94"/>
      <c r="G492" s="138" t="str">
        <f>CONCATENATE("Agglo","_",$C$487,"_",D491,"_",E492)</f>
        <v>Agglo_P4_21à25_Chant</v>
      </c>
      <c r="H492" s="75"/>
      <c r="I492" s="112">
        <f>I491</f>
        <v>10.8</v>
      </c>
      <c r="J492" s="112">
        <f>J491</f>
        <v>6.9</v>
      </c>
      <c r="K492" s="101" t="s">
        <v>722</v>
      </c>
      <c r="L492" s="112">
        <f>L491</f>
        <v>9.6</v>
      </c>
      <c r="M492" s="112">
        <f>L491</f>
        <v>9.6</v>
      </c>
      <c r="N492" s="95">
        <v>5.5</v>
      </c>
      <c r="O492" s="101" t="s">
        <v>722</v>
      </c>
      <c r="P492" s="113">
        <f t="shared" si="3"/>
        <v>2.16</v>
      </c>
      <c r="Q492" s="113">
        <f>Q491</f>
        <v>2.7</v>
      </c>
      <c r="R492" s="115" t="s">
        <v>722</v>
      </c>
      <c r="S492" s="116">
        <v>0.77</v>
      </c>
      <c r="T492" s="103" t="s">
        <v>722</v>
      </c>
      <c r="U492" s="124" t="s">
        <v>722</v>
      </c>
      <c r="V492" s="100">
        <v>550</v>
      </c>
      <c r="W492" s="142">
        <v>7</v>
      </c>
    </row>
    <row r="493" spans="2:23" ht="22.5" x14ac:dyDescent="0.25">
      <c r="B493" s="185"/>
      <c r="C493" s="72"/>
      <c r="D493" s="69" t="s">
        <v>645</v>
      </c>
      <c r="E493" s="73" t="s">
        <v>668</v>
      </c>
      <c r="F493" s="94"/>
      <c r="G493" s="138" t="str">
        <f>CONCATENATE("Agglo","_",$C$487,"_",D493,"_",E493)</f>
        <v>Agglo_P4_26à32_Plat</v>
      </c>
      <c r="H493" s="75"/>
      <c r="I493" s="101">
        <v>9.1999999999999993</v>
      </c>
      <c r="J493" s="101">
        <v>6.1</v>
      </c>
      <c r="K493" s="101" t="s">
        <v>722</v>
      </c>
      <c r="L493" s="101">
        <v>9</v>
      </c>
      <c r="M493" s="112" t="s">
        <v>722</v>
      </c>
      <c r="N493" s="101" t="s">
        <v>722</v>
      </c>
      <c r="O493" s="101">
        <v>1.2</v>
      </c>
      <c r="P493" s="113">
        <f t="shared" si="3"/>
        <v>1.92</v>
      </c>
      <c r="Q493" s="116">
        <v>2.4</v>
      </c>
      <c r="R493" s="115" t="s">
        <v>722</v>
      </c>
      <c r="S493" s="116" t="s">
        <v>722</v>
      </c>
      <c r="T493" s="103" t="s">
        <v>722</v>
      </c>
      <c r="U493" s="100" t="s">
        <v>722</v>
      </c>
      <c r="V493" s="100">
        <v>550</v>
      </c>
      <c r="W493" s="142">
        <v>7</v>
      </c>
    </row>
    <row r="494" spans="2:23" ht="22.5" x14ac:dyDescent="0.25">
      <c r="B494" s="185"/>
      <c r="C494" s="72"/>
      <c r="D494" s="69"/>
      <c r="E494" s="73" t="s">
        <v>669</v>
      </c>
      <c r="F494" s="94"/>
      <c r="G494" s="138" t="str">
        <f>CONCATENATE("Agglo","_",$C$487,"_",D493,"_",E494)</f>
        <v>Agglo_P4_26à32_Chant</v>
      </c>
      <c r="H494" s="75"/>
      <c r="I494" s="112">
        <f>I493</f>
        <v>9.1999999999999993</v>
      </c>
      <c r="J494" s="112">
        <f>J493</f>
        <v>6.1</v>
      </c>
      <c r="K494" s="112" t="str">
        <f>K493</f>
        <v>-</v>
      </c>
      <c r="L494" s="112">
        <f>L493</f>
        <v>9</v>
      </c>
      <c r="M494" s="112">
        <f>L493</f>
        <v>9</v>
      </c>
      <c r="N494" s="95">
        <v>4.8</v>
      </c>
      <c r="O494" s="101" t="s">
        <v>722</v>
      </c>
      <c r="P494" s="113">
        <f t="shared" si="3"/>
        <v>1.92</v>
      </c>
      <c r="Q494" s="113">
        <f>Q493</f>
        <v>2.4</v>
      </c>
      <c r="R494" s="115" t="s">
        <v>722</v>
      </c>
      <c r="S494" s="116">
        <v>0.68</v>
      </c>
      <c r="T494" s="103" t="s">
        <v>722</v>
      </c>
      <c r="U494" s="124" t="s">
        <v>722</v>
      </c>
      <c r="V494" s="100">
        <v>550</v>
      </c>
      <c r="W494" s="142">
        <v>7</v>
      </c>
    </row>
    <row r="495" spans="2:23" ht="22.5" x14ac:dyDescent="0.25">
      <c r="B495" s="185"/>
      <c r="C495" s="72"/>
      <c r="D495" s="69" t="s">
        <v>646</v>
      </c>
      <c r="E495" s="73" t="s">
        <v>668</v>
      </c>
      <c r="F495" s="94"/>
      <c r="G495" s="138" t="str">
        <f>CONCATENATE("Agglo","_",$C$487,"_",D495,"_",E495)</f>
        <v>Agglo_P4_33à40_Plat</v>
      </c>
      <c r="H495" s="75"/>
      <c r="I495" s="101">
        <v>7.5</v>
      </c>
      <c r="J495" s="101">
        <v>5</v>
      </c>
      <c r="K495" s="101" t="s">
        <v>722</v>
      </c>
      <c r="L495" s="101">
        <v>7.6</v>
      </c>
      <c r="M495" s="112" t="s">
        <v>722</v>
      </c>
      <c r="N495" s="101" t="s">
        <v>722</v>
      </c>
      <c r="O495" s="101">
        <v>1.1000000000000001</v>
      </c>
      <c r="P495" s="113">
        <f t="shared" si="3"/>
        <v>1.6800000000000002</v>
      </c>
      <c r="Q495" s="116">
        <v>2.1</v>
      </c>
      <c r="R495" s="115" t="s">
        <v>722</v>
      </c>
      <c r="S495" s="116" t="s">
        <v>722</v>
      </c>
      <c r="T495" s="103" t="s">
        <v>722</v>
      </c>
      <c r="U495" s="100" t="s">
        <v>722</v>
      </c>
      <c r="V495" s="100">
        <v>500</v>
      </c>
      <c r="W495" s="142">
        <v>7</v>
      </c>
    </row>
    <row r="496" spans="2:23" ht="22.5" x14ac:dyDescent="0.25">
      <c r="B496" s="185"/>
      <c r="C496" s="72"/>
      <c r="D496" s="69"/>
      <c r="E496" s="73" t="s">
        <v>669</v>
      </c>
      <c r="F496" s="94"/>
      <c r="G496" s="138" t="str">
        <f>CONCATENATE("Agglo","_",$C$487,"_",D495,"_",E496)</f>
        <v>Agglo_P4_33à40_Chant</v>
      </c>
      <c r="H496" s="75"/>
      <c r="I496" s="112">
        <f>I495</f>
        <v>7.5</v>
      </c>
      <c r="J496" s="112">
        <f>J495</f>
        <v>5</v>
      </c>
      <c r="K496" s="112" t="str">
        <f>K495</f>
        <v>-</v>
      </c>
      <c r="L496" s="112">
        <f>L495</f>
        <v>7.6</v>
      </c>
      <c r="M496" s="112">
        <f>L495</f>
        <v>7.6</v>
      </c>
      <c r="N496" s="95">
        <v>4.4000000000000004</v>
      </c>
      <c r="O496" s="101" t="s">
        <v>722</v>
      </c>
      <c r="P496" s="113">
        <f t="shared" si="3"/>
        <v>1.6800000000000002</v>
      </c>
      <c r="Q496" s="113">
        <f>Q495</f>
        <v>2.1</v>
      </c>
      <c r="R496" s="115" t="s">
        <v>722</v>
      </c>
      <c r="S496" s="116">
        <v>0.6</v>
      </c>
      <c r="T496" s="103" t="s">
        <v>722</v>
      </c>
      <c r="U496" s="124" t="s">
        <v>722</v>
      </c>
      <c r="V496" s="100">
        <v>500</v>
      </c>
      <c r="W496" s="142">
        <v>7</v>
      </c>
    </row>
    <row r="497" spans="2:23" x14ac:dyDescent="0.25">
      <c r="B497" s="185"/>
      <c r="C497" s="72"/>
      <c r="D497" s="69" t="s">
        <v>647</v>
      </c>
      <c r="E497" s="73" t="s">
        <v>668</v>
      </c>
      <c r="F497" s="94"/>
      <c r="G497" s="138" t="str">
        <f>CONCATENATE("Agglo","_",$C$487,"_",D497,"_",E497)</f>
        <v>Agglo_P4_&gt;40_Plat</v>
      </c>
      <c r="H497" s="75"/>
      <c r="I497" s="101">
        <v>5.8</v>
      </c>
      <c r="J497" s="101">
        <v>4.4000000000000004</v>
      </c>
      <c r="K497" s="101" t="s">
        <v>722</v>
      </c>
      <c r="L497" s="101">
        <v>6.1</v>
      </c>
      <c r="M497" s="112" t="s">
        <v>722</v>
      </c>
      <c r="N497" s="101" t="s">
        <v>722</v>
      </c>
      <c r="O497" s="101">
        <v>1</v>
      </c>
      <c r="P497" s="134">
        <f t="shared" si="3"/>
        <v>1.4400000000000002</v>
      </c>
      <c r="Q497" s="116">
        <v>1.8</v>
      </c>
      <c r="R497" s="115" t="s">
        <v>722</v>
      </c>
      <c r="S497" s="116" t="s">
        <v>722</v>
      </c>
      <c r="T497" s="103" t="s">
        <v>722</v>
      </c>
      <c r="U497" s="100" t="s">
        <v>722</v>
      </c>
      <c r="V497" s="100">
        <v>500</v>
      </c>
      <c r="W497" s="142">
        <v>7</v>
      </c>
    </row>
    <row r="498" spans="2:23" ht="22.5" x14ac:dyDescent="0.25">
      <c r="B498" s="185"/>
      <c r="C498" s="72"/>
      <c r="D498" s="69"/>
      <c r="E498" s="73" t="s">
        <v>669</v>
      </c>
      <c r="F498" s="94"/>
      <c r="G498" s="138" t="str">
        <f>CONCATENATE("Agglo","_",$C$487,"_",D497,"_",E498)</f>
        <v>Agglo_P4_&gt;40_Chant</v>
      </c>
      <c r="H498" s="75"/>
      <c r="I498" s="112">
        <f>I497</f>
        <v>5.8</v>
      </c>
      <c r="J498" s="112">
        <f>J497</f>
        <v>4.4000000000000004</v>
      </c>
      <c r="K498" s="112" t="str">
        <f>K497</f>
        <v>-</v>
      </c>
      <c r="L498" s="112">
        <f>L497</f>
        <v>6.1</v>
      </c>
      <c r="M498" s="112">
        <f>L497</f>
        <v>6.1</v>
      </c>
      <c r="N498" s="95">
        <v>4.2</v>
      </c>
      <c r="O498" s="101" t="s">
        <v>722</v>
      </c>
      <c r="P498" s="134">
        <f t="shared" si="3"/>
        <v>1.4400000000000002</v>
      </c>
      <c r="Q498" s="113">
        <f>Q497</f>
        <v>1.8</v>
      </c>
      <c r="R498" s="115" t="s">
        <v>722</v>
      </c>
      <c r="S498" s="116">
        <v>0.55000000000000004</v>
      </c>
      <c r="T498" s="103" t="s">
        <v>722</v>
      </c>
      <c r="U498" s="124" t="s">
        <v>722</v>
      </c>
      <c r="V498" s="100">
        <v>500</v>
      </c>
      <c r="W498" s="142">
        <v>7</v>
      </c>
    </row>
    <row r="499" spans="2:23" x14ac:dyDescent="0.25">
      <c r="B499" s="185"/>
      <c r="C499" s="72" t="s">
        <v>608</v>
      </c>
      <c r="D499" s="69" t="s">
        <v>642</v>
      </c>
      <c r="E499" s="73" t="s">
        <v>668</v>
      </c>
      <c r="F499" s="94"/>
      <c r="G499" s="138" t="str">
        <f>CONCATENATE("Agglo","_",$C$499,"_",D499,"_",E499)</f>
        <v>Agglo_P5_6à13_Plat</v>
      </c>
      <c r="H499" s="75"/>
      <c r="I499" s="95">
        <v>15</v>
      </c>
      <c r="J499" s="95">
        <v>9.4</v>
      </c>
      <c r="K499" s="95"/>
      <c r="L499" s="95">
        <v>12.7</v>
      </c>
      <c r="M499" s="101" t="s">
        <v>722</v>
      </c>
      <c r="N499" s="101" t="s">
        <v>722</v>
      </c>
      <c r="O499" s="95">
        <v>1.9</v>
      </c>
      <c r="P499" s="113">
        <f t="shared" si="3"/>
        <v>2.8000000000000003</v>
      </c>
      <c r="Q499" s="97">
        <v>3.5</v>
      </c>
      <c r="R499" s="114" t="s">
        <v>722</v>
      </c>
      <c r="S499" s="116" t="s">
        <v>722</v>
      </c>
      <c r="T499" s="103" t="s">
        <v>722</v>
      </c>
      <c r="U499" s="99" t="s">
        <v>722</v>
      </c>
      <c r="V499" s="100">
        <v>650</v>
      </c>
      <c r="W499" s="142">
        <v>7</v>
      </c>
    </row>
    <row r="500" spans="2:23" ht="22.5" x14ac:dyDescent="0.25">
      <c r="B500" s="185"/>
      <c r="C500" s="72"/>
      <c r="D500" s="69"/>
      <c r="E500" s="73" t="s">
        <v>669</v>
      </c>
      <c r="F500" s="94"/>
      <c r="G500" s="138" t="str">
        <f>CONCATENATE("Agglo","_",$C$499,"_",D499,"_",E500)</f>
        <v>Agglo_P5_6à13_Chant</v>
      </c>
      <c r="H500" s="75"/>
      <c r="I500" s="112">
        <f>I499</f>
        <v>15</v>
      </c>
      <c r="J500" s="112">
        <f>J499</f>
        <v>9.4</v>
      </c>
      <c r="K500" s="101" t="s">
        <v>722</v>
      </c>
      <c r="L500" s="112">
        <f>L499</f>
        <v>12.7</v>
      </c>
      <c r="M500" s="112">
        <f>L499</f>
        <v>12.7</v>
      </c>
      <c r="N500" s="95">
        <v>7</v>
      </c>
      <c r="O500" s="101" t="s">
        <v>722</v>
      </c>
      <c r="P500" s="113">
        <f t="shared" si="3"/>
        <v>2.8000000000000003</v>
      </c>
      <c r="Q500" s="113">
        <f>Q499</f>
        <v>3.5</v>
      </c>
      <c r="R500" s="115" t="s">
        <v>722</v>
      </c>
      <c r="S500" s="116">
        <v>0.96</v>
      </c>
      <c r="T500" s="103" t="s">
        <v>722</v>
      </c>
      <c r="U500" s="124" t="s">
        <v>722</v>
      </c>
      <c r="V500" s="100">
        <v>650</v>
      </c>
      <c r="W500" s="142">
        <v>7</v>
      </c>
    </row>
    <row r="501" spans="2:23" ht="22.5" x14ac:dyDescent="0.25">
      <c r="B501" s="185"/>
      <c r="C501" s="72"/>
      <c r="D501" s="69" t="s">
        <v>643</v>
      </c>
      <c r="E501" s="73" t="s">
        <v>668</v>
      </c>
      <c r="F501" s="94"/>
      <c r="G501" s="138" t="str">
        <f>CONCATENATE("Agglo","_",$C$499,"_",D501,"_",E501)</f>
        <v>Agglo_P5_14à20_Plat</v>
      </c>
      <c r="H501" s="75"/>
      <c r="I501" s="95">
        <v>13.3</v>
      </c>
      <c r="J501" s="95">
        <v>8.5</v>
      </c>
      <c r="K501" s="95"/>
      <c r="L501" s="95">
        <v>11.8</v>
      </c>
      <c r="M501" s="101" t="s">
        <v>722</v>
      </c>
      <c r="N501" s="101" t="s">
        <v>722</v>
      </c>
      <c r="O501" s="95">
        <v>1.7</v>
      </c>
      <c r="P501" s="113">
        <f t="shared" si="3"/>
        <v>2.64</v>
      </c>
      <c r="Q501" s="97">
        <v>3.3</v>
      </c>
      <c r="R501" s="114" t="s">
        <v>722</v>
      </c>
      <c r="S501" s="116" t="s">
        <v>722</v>
      </c>
      <c r="T501" s="103" t="s">
        <v>722</v>
      </c>
      <c r="U501" s="99" t="s">
        <v>722</v>
      </c>
      <c r="V501" s="100">
        <v>600</v>
      </c>
      <c r="W501" s="142">
        <v>7</v>
      </c>
    </row>
    <row r="502" spans="2:23" ht="22.5" x14ac:dyDescent="0.25">
      <c r="B502" s="185"/>
      <c r="C502" s="72"/>
      <c r="D502" s="69"/>
      <c r="E502" s="73" t="s">
        <v>669</v>
      </c>
      <c r="F502" s="94"/>
      <c r="G502" s="138" t="str">
        <f>CONCATENATE("Agglo","_",$C$499,"_",D501,"_",E502)</f>
        <v>Agglo_P5_14à20_Chant</v>
      </c>
      <c r="H502" s="75"/>
      <c r="I502" s="112">
        <f>I501</f>
        <v>13.3</v>
      </c>
      <c r="J502" s="112">
        <f>J501</f>
        <v>8.5</v>
      </c>
      <c r="K502" s="101" t="s">
        <v>722</v>
      </c>
      <c r="L502" s="112">
        <f>L501</f>
        <v>11.8</v>
      </c>
      <c r="M502" s="112">
        <f>L501</f>
        <v>11.8</v>
      </c>
      <c r="N502" s="95">
        <v>6.5</v>
      </c>
      <c r="O502" s="101" t="s">
        <v>722</v>
      </c>
      <c r="P502" s="113">
        <f t="shared" si="3"/>
        <v>2.64</v>
      </c>
      <c r="Q502" s="113">
        <f>Q501</f>
        <v>3.3</v>
      </c>
      <c r="R502" s="115" t="s">
        <v>722</v>
      </c>
      <c r="S502" s="116">
        <v>0.93</v>
      </c>
      <c r="T502" s="103" t="s">
        <v>722</v>
      </c>
      <c r="U502" s="124" t="s">
        <v>722</v>
      </c>
      <c r="V502" s="100">
        <v>600</v>
      </c>
      <c r="W502" s="142">
        <v>7</v>
      </c>
    </row>
    <row r="503" spans="2:23" ht="22.5" x14ac:dyDescent="0.25">
      <c r="B503" s="185"/>
      <c r="C503" s="72"/>
      <c r="D503" s="69" t="s">
        <v>644</v>
      </c>
      <c r="E503" s="73" t="s">
        <v>668</v>
      </c>
      <c r="F503" s="94"/>
      <c r="G503" s="138" t="str">
        <f>CONCATENATE("Agglo","_",$C$499,"_",D503,"_",E503)</f>
        <v>Agglo_P5_21à25_Plat</v>
      </c>
      <c r="H503" s="75"/>
      <c r="I503" s="95">
        <v>11.7</v>
      </c>
      <c r="J503" s="95">
        <v>7.4</v>
      </c>
      <c r="K503" s="95"/>
      <c r="L503" s="95">
        <v>10.3</v>
      </c>
      <c r="M503" s="101" t="s">
        <v>722</v>
      </c>
      <c r="N503" s="101" t="s">
        <v>722</v>
      </c>
      <c r="O503" s="95">
        <v>1.5</v>
      </c>
      <c r="P503" s="113">
        <f t="shared" si="3"/>
        <v>2.4000000000000004</v>
      </c>
      <c r="Q503" s="97">
        <v>3</v>
      </c>
      <c r="R503" s="114" t="s">
        <v>722</v>
      </c>
      <c r="S503" s="116" t="s">
        <v>722</v>
      </c>
      <c r="T503" s="103" t="s">
        <v>722</v>
      </c>
      <c r="U503" s="99" t="s">
        <v>722</v>
      </c>
      <c r="V503" s="100">
        <v>550</v>
      </c>
      <c r="W503" s="142">
        <v>7</v>
      </c>
    </row>
    <row r="504" spans="2:23" ht="22.5" x14ac:dyDescent="0.25">
      <c r="B504" s="185"/>
      <c r="C504" s="72"/>
      <c r="D504" s="69"/>
      <c r="E504" s="73" t="s">
        <v>669</v>
      </c>
      <c r="F504" s="94"/>
      <c r="G504" s="138" t="str">
        <f>CONCATENATE("Agglo","_",$C$499,"_",D503,"_",E504)</f>
        <v>Agglo_P5_21à25_Chant</v>
      </c>
      <c r="H504" s="75"/>
      <c r="I504" s="112">
        <f>I503</f>
        <v>11.7</v>
      </c>
      <c r="J504" s="112">
        <f>J503</f>
        <v>7.4</v>
      </c>
      <c r="K504" s="101" t="s">
        <v>722</v>
      </c>
      <c r="L504" s="112">
        <f>L503</f>
        <v>10.3</v>
      </c>
      <c r="M504" s="112">
        <f>L503</f>
        <v>10.3</v>
      </c>
      <c r="N504" s="95">
        <v>5.9</v>
      </c>
      <c r="O504" s="101" t="s">
        <v>722</v>
      </c>
      <c r="P504" s="113">
        <f t="shared" si="3"/>
        <v>2.4000000000000004</v>
      </c>
      <c r="Q504" s="113">
        <f>Q503</f>
        <v>3</v>
      </c>
      <c r="R504" s="115" t="s">
        <v>722</v>
      </c>
      <c r="S504" s="116">
        <v>0.86</v>
      </c>
      <c r="T504" s="103" t="s">
        <v>722</v>
      </c>
      <c r="U504" s="124" t="s">
        <v>722</v>
      </c>
      <c r="V504" s="100">
        <v>550</v>
      </c>
      <c r="W504" s="142">
        <v>7</v>
      </c>
    </row>
    <row r="505" spans="2:23" ht="22.5" x14ac:dyDescent="0.25">
      <c r="B505" s="185"/>
      <c r="C505" s="72"/>
      <c r="D505" s="69" t="s">
        <v>648</v>
      </c>
      <c r="E505" s="73" t="s">
        <v>668</v>
      </c>
      <c r="F505" s="94"/>
      <c r="G505" s="138" t="str">
        <f>CONCATENATE("Agglo","_",$C$499,"_",D505,"_",E505)</f>
        <v>Agglo_P5_25à32_Plat</v>
      </c>
      <c r="H505" s="75"/>
      <c r="I505" s="95">
        <v>10</v>
      </c>
      <c r="J505" s="95">
        <v>6.6</v>
      </c>
      <c r="K505" s="95"/>
      <c r="L505" s="95">
        <v>9.8000000000000007</v>
      </c>
      <c r="M505" s="101" t="s">
        <v>722</v>
      </c>
      <c r="N505" s="101" t="s">
        <v>722</v>
      </c>
      <c r="O505" s="95">
        <v>1.3</v>
      </c>
      <c r="P505" s="113">
        <f t="shared" si="3"/>
        <v>2.08</v>
      </c>
      <c r="Q505" s="97">
        <v>2.6</v>
      </c>
      <c r="R505" s="114" t="s">
        <v>722</v>
      </c>
      <c r="S505" s="116" t="s">
        <v>722</v>
      </c>
      <c r="T505" s="103" t="s">
        <v>722</v>
      </c>
      <c r="U505" s="99" t="s">
        <v>722</v>
      </c>
      <c r="V505" s="100">
        <v>550</v>
      </c>
      <c r="W505" s="142">
        <v>7</v>
      </c>
    </row>
    <row r="506" spans="2:23" ht="22.5" x14ac:dyDescent="0.25">
      <c r="B506" s="185"/>
      <c r="C506" s="72"/>
      <c r="D506" s="69"/>
      <c r="E506" s="73" t="s">
        <v>669</v>
      </c>
      <c r="F506" s="94"/>
      <c r="G506" s="138" t="str">
        <f>CONCATENATE("Agglo","_",$C$499,"_",D505,"_",E506)</f>
        <v>Agglo_P5_25à32_Chant</v>
      </c>
      <c r="H506" s="75"/>
      <c r="I506" s="112">
        <f>I505</f>
        <v>10</v>
      </c>
      <c r="J506" s="112">
        <f>J505</f>
        <v>6.6</v>
      </c>
      <c r="K506" s="101" t="s">
        <v>722</v>
      </c>
      <c r="L506" s="112">
        <f>L505</f>
        <v>9.8000000000000007</v>
      </c>
      <c r="M506" s="112">
        <f>L505</f>
        <v>9.8000000000000007</v>
      </c>
      <c r="N506" s="95">
        <v>5.2</v>
      </c>
      <c r="O506" s="101" t="s">
        <v>722</v>
      </c>
      <c r="P506" s="113">
        <f t="shared" si="3"/>
        <v>2.08</v>
      </c>
      <c r="Q506" s="113">
        <f>Q505</f>
        <v>2.6</v>
      </c>
      <c r="R506" s="115" t="s">
        <v>722</v>
      </c>
      <c r="S506" s="116">
        <v>0.75</v>
      </c>
      <c r="T506" s="103" t="s">
        <v>722</v>
      </c>
      <c r="U506" s="124" t="s">
        <v>722</v>
      </c>
      <c r="V506" s="100">
        <v>550</v>
      </c>
      <c r="W506" s="142">
        <v>7</v>
      </c>
    </row>
    <row r="507" spans="2:23" ht="22.5" x14ac:dyDescent="0.25">
      <c r="B507" s="185"/>
      <c r="C507" s="72"/>
      <c r="D507" s="69" t="s">
        <v>646</v>
      </c>
      <c r="E507" s="73" t="s">
        <v>668</v>
      </c>
      <c r="F507" s="94"/>
      <c r="G507" s="138" t="str">
        <f>CONCATENATE("Agglo","_",$C$499,"_",D507,"_",E507)</f>
        <v>Agglo_P5_33à40_Plat</v>
      </c>
      <c r="H507" s="75"/>
      <c r="I507" s="95">
        <v>8.3000000000000007</v>
      </c>
      <c r="J507" s="95">
        <v>5.6</v>
      </c>
      <c r="K507" s="95"/>
      <c r="L507" s="95">
        <v>8.5</v>
      </c>
      <c r="M507" s="101" t="s">
        <v>722</v>
      </c>
      <c r="N507" s="101" t="s">
        <v>722</v>
      </c>
      <c r="O507" s="95">
        <v>1.2</v>
      </c>
      <c r="P507" s="113">
        <f t="shared" si="3"/>
        <v>1.92</v>
      </c>
      <c r="Q507" s="97">
        <v>2.4</v>
      </c>
      <c r="R507" s="114" t="s">
        <v>722</v>
      </c>
      <c r="S507" s="116" t="s">
        <v>722</v>
      </c>
      <c r="T507" s="103" t="s">
        <v>722</v>
      </c>
      <c r="U507" s="99" t="s">
        <v>722</v>
      </c>
      <c r="V507" s="100">
        <v>500</v>
      </c>
      <c r="W507" s="142">
        <v>7</v>
      </c>
    </row>
    <row r="508" spans="2:23" ht="22.5" x14ac:dyDescent="0.25">
      <c r="B508" s="185"/>
      <c r="C508" s="72"/>
      <c r="D508" s="69"/>
      <c r="E508" s="73" t="s">
        <v>669</v>
      </c>
      <c r="F508" s="94"/>
      <c r="G508" s="138" t="str">
        <f>CONCATENATE("Agglo","_",$C$499,"_",D507,"_",E508)</f>
        <v>Agglo_P5_33à40_Chant</v>
      </c>
      <c r="H508" s="75"/>
      <c r="I508" s="112">
        <f>I507</f>
        <v>8.3000000000000007</v>
      </c>
      <c r="J508" s="112">
        <f>J507</f>
        <v>5.6</v>
      </c>
      <c r="K508" s="101" t="s">
        <v>722</v>
      </c>
      <c r="L508" s="112">
        <f>L507</f>
        <v>8.5</v>
      </c>
      <c r="M508" s="112">
        <f>L507</f>
        <v>8.5</v>
      </c>
      <c r="N508" s="95">
        <v>4.8</v>
      </c>
      <c r="O508" s="101" t="s">
        <v>722</v>
      </c>
      <c r="P508" s="113">
        <f t="shared" si="3"/>
        <v>1.92</v>
      </c>
      <c r="Q508" s="113">
        <f>Q507</f>
        <v>2.4</v>
      </c>
      <c r="R508" s="115" t="s">
        <v>722</v>
      </c>
      <c r="S508" s="116">
        <v>0.69</v>
      </c>
      <c r="T508" s="103" t="s">
        <v>722</v>
      </c>
      <c r="U508" s="124" t="s">
        <v>722</v>
      </c>
      <c r="V508" s="100">
        <v>500</v>
      </c>
      <c r="W508" s="142">
        <v>7</v>
      </c>
    </row>
    <row r="509" spans="2:23" x14ac:dyDescent="0.25">
      <c r="B509" s="185"/>
      <c r="C509" s="72"/>
      <c r="D509" s="69" t="s">
        <v>647</v>
      </c>
      <c r="E509" s="73" t="s">
        <v>668</v>
      </c>
      <c r="F509" s="94"/>
      <c r="G509" s="138" t="str">
        <f>CONCATENATE("Agglo","_",$C$499,"_",D509,"_",E509)</f>
        <v>Agglo_P5_&gt;40_Plat</v>
      </c>
      <c r="H509" s="75"/>
      <c r="I509" s="95">
        <v>7.5</v>
      </c>
      <c r="J509" s="95">
        <v>5.6</v>
      </c>
      <c r="K509" s="95"/>
      <c r="L509" s="95">
        <v>7.8</v>
      </c>
      <c r="M509" s="101" t="s">
        <v>722</v>
      </c>
      <c r="N509" s="101" t="s">
        <v>722</v>
      </c>
      <c r="O509" s="95">
        <v>1</v>
      </c>
      <c r="P509" s="113">
        <f t="shared" si="3"/>
        <v>1.6800000000000002</v>
      </c>
      <c r="Q509" s="97">
        <v>2.1</v>
      </c>
      <c r="R509" s="114" t="s">
        <v>722</v>
      </c>
      <c r="S509" s="116" t="s">
        <v>722</v>
      </c>
      <c r="T509" s="103" t="s">
        <v>722</v>
      </c>
      <c r="U509" s="99" t="s">
        <v>722</v>
      </c>
      <c r="V509" s="100">
        <v>500</v>
      </c>
      <c r="W509" s="142">
        <v>7</v>
      </c>
    </row>
    <row r="510" spans="2:23" ht="22.5" x14ac:dyDescent="0.25">
      <c r="B510" s="185"/>
      <c r="C510" s="72"/>
      <c r="D510" s="69"/>
      <c r="E510" s="73" t="s">
        <v>669</v>
      </c>
      <c r="F510" s="94"/>
      <c r="G510" s="138" t="str">
        <f>CONCATENATE("Agglo","_",$C$499,"_",D509,"_",E510)</f>
        <v>Agglo_P5_&gt;40_Chant</v>
      </c>
      <c r="H510" s="75"/>
      <c r="I510" s="112">
        <f>I509</f>
        <v>7.5</v>
      </c>
      <c r="J510" s="112">
        <f>J509</f>
        <v>5.6</v>
      </c>
      <c r="K510" s="101" t="s">
        <v>722</v>
      </c>
      <c r="L510" s="112">
        <f>L509</f>
        <v>7.8</v>
      </c>
      <c r="M510" s="112">
        <f>L509</f>
        <v>7.8</v>
      </c>
      <c r="N510" s="95">
        <v>4.4000000000000004</v>
      </c>
      <c r="O510" s="101" t="s">
        <v>722</v>
      </c>
      <c r="P510" s="113">
        <f t="shared" si="3"/>
        <v>1.6800000000000002</v>
      </c>
      <c r="Q510" s="113">
        <f>Q509</f>
        <v>2.1</v>
      </c>
      <c r="R510" s="115" t="s">
        <v>722</v>
      </c>
      <c r="S510" s="116">
        <v>0.66</v>
      </c>
      <c r="T510" s="103" t="s">
        <v>722</v>
      </c>
      <c r="U510" s="124" t="s">
        <v>722</v>
      </c>
      <c r="V510" s="100">
        <v>500</v>
      </c>
      <c r="W510" s="142">
        <v>7</v>
      </c>
    </row>
    <row r="511" spans="2:23" x14ac:dyDescent="0.25">
      <c r="B511" s="185"/>
      <c r="C511" s="72" t="s">
        <v>609</v>
      </c>
      <c r="D511" s="69" t="s">
        <v>642</v>
      </c>
      <c r="E511" s="73" t="s">
        <v>668</v>
      </c>
      <c r="F511" s="94"/>
      <c r="G511" s="138" t="str">
        <f>CONCATENATE("Agglo","_",C511,"_",D511,"_",E511)</f>
        <v>Agglo_P6_6à13_Plat</v>
      </c>
      <c r="H511" s="75"/>
      <c r="I511" s="95">
        <v>16.5</v>
      </c>
      <c r="J511" s="95">
        <v>10.5</v>
      </c>
      <c r="K511" s="95"/>
      <c r="L511" s="95">
        <v>14.1</v>
      </c>
      <c r="M511" s="101" t="s">
        <v>722</v>
      </c>
      <c r="N511" s="101" t="s">
        <v>722</v>
      </c>
      <c r="O511" s="95">
        <v>1.9</v>
      </c>
      <c r="P511" s="113">
        <f t="shared" si="3"/>
        <v>3.5200000000000005</v>
      </c>
      <c r="Q511" s="97">
        <v>4.4000000000000004</v>
      </c>
      <c r="R511" s="114" t="s">
        <v>722</v>
      </c>
      <c r="S511" s="116" t="s">
        <v>722</v>
      </c>
      <c r="T511" s="103" t="s">
        <v>722</v>
      </c>
      <c r="U511" s="99" t="s">
        <v>722</v>
      </c>
      <c r="V511" s="100">
        <v>650</v>
      </c>
      <c r="W511" s="142">
        <v>8</v>
      </c>
    </row>
    <row r="512" spans="2:23" ht="22.5" x14ac:dyDescent="0.25">
      <c r="B512" s="185"/>
      <c r="C512" s="72"/>
      <c r="D512" s="69"/>
      <c r="E512" s="73" t="s">
        <v>669</v>
      </c>
      <c r="F512" s="94"/>
      <c r="G512" s="138" t="str">
        <f>CONCATENATE("Agglo","_",C511,"_",D511,"_",E512)</f>
        <v>Agglo_P6_6à13_Chant</v>
      </c>
      <c r="H512" s="75"/>
      <c r="I512" s="112">
        <f>I511</f>
        <v>16.5</v>
      </c>
      <c r="J512" s="112">
        <f>J511</f>
        <v>10.5</v>
      </c>
      <c r="K512" s="101" t="s">
        <v>722</v>
      </c>
      <c r="L512" s="112">
        <f>L511</f>
        <v>14.1</v>
      </c>
      <c r="M512" s="112">
        <f>L511</f>
        <v>14.1</v>
      </c>
      <c r="N512" s="95">
        <v>7.8</v>
      </c>
      <c r="O512" s="101" t="s">
        <v>722</v>
      </c>
      <c r="P512" s="113">
        <f t="shared" si="3"/>
        <v>3.5200000000000005</v>
      </c>
      <c r="Q512" s="113">
        <f>Q511</f>
        <v>4.4000000000000004</v>
      </c>
      <c r="R512" s="115" t="s">
        <v>722</v>
      </c>
      <c r="S512" s="116">
        <v>1.2</v>
      </c>
      <c r="T512" s="103" t="s">
        <v>722</v>
      </c>
      <c r="U512" s="124" t="s">
        <v>722</v>
      </c>
      <c r="V512" s="100">
        <v>650</v>
      </c>
      <c r="W512" s="142">
        <v>8</v>
      </c>
    </row>
    <row r="513" spans="2:23" ht="22.5" x14ac:dyDescent="0.25">
      <c r="B513" s="185"/>
      <c r="C513" s="72"/>
      <c r="D513" s="69" t="s">
        <v>643</v>
      </c>
      <c r="E513" s="73" t="s">
        <v>668</v>
      </c>
      <c r="F513" s="94"/>
      <c r="G513" s="138" t="str">
        <f>CONCATENATE("Agglo","_",C511,"_",D513,"_",E513)</f>
        <v>Agglo_P6_14à20_Plat</v>
      </c>
      <c r="H513" s="75"/>
      <c r="I513" s="95">
        <v>15</v>
      </c>
      <c r="J513" s="95">
        <v>9.5</v>
      </c>
      <c r="K513" s="95"/>
      <c r="L513" s="95">
        <v>13.3</v>
      </c>
      <c r="M513" s="101" t="s">
        <v>722</v>
      </c>
      <c r="N513" s="101" t="s">
        <v>722</v>
      </c>
      <c r="O513" s="95">
        <v>1.7</v>
      </c>
      <c r="P513" s="113">
        <f t="shared" si="3"/>
        <v>3.28</v>
      </c>
      <c r="Q513" s="97">
        <v>4.0999999999999996</v>
      </c>
      <c r="R513" s="114" t="s">
        <v>722</v>
      </c>
      <c r="S513" s="116" t="s">
        <v>722</v>
      </c>
      <c r="T513" s="103" t="s">
        <v>722</v>
      </c>
      <c r="U513" s="99" t="s">
        <v>722</v>
      </c>
      <c r="V513" s="100">
        <v>600</v>
      </c>
      <c r="W513" s="142">
        <v>8</v>
      </c>
    </row>
    <row r="514" spans="2:23" ht="22.5" x14ac:dyDescent="0.25">
      <c r="B514" s="185"/>
      <c r="C514" s="72"/>
      <c r="D514" s="69"/>
      <c r="E514" s="73" t="s">
        <v>669</v>
      </c>
      <c r="F514" s="94"/>
      <c r="G514" s="138" t="str">
        <f>CONCATENATE("Agglo","_",C511,"_",D513,"_",E514)</f>
        <v>Agglo_P6_14à20_Chant</v>
      </c>
      <c r="H514" s="75"/>
      <c r="I514" s="112">
        <f>I513</f>
        <v>15</v>
      </c>
      <c r="J514" s="112">
        <f>J513</f>
        <v>9.5</v>
      </c>
      <c r="K514" s="101" t="s">
        <v>722</v>
      </c>
      <c r="L514" s="112">
        <f>L513</f>
        <v>13.3</v>
      </c>
      <c r="M514" s="112">
        <f>L513</f>
        <v>13.3</v>
      </c>
      <c r="N514" s="95">
        <v>7.3</v>
      </c>
      <c r="O514" s="101" t="s">
        <v>722</v>
      </c>
      <c r="P514" s="113">
        <f t="shared" si="3"/>
        <v>3.28</v>
      </c>
      <c r="Q514" s="113">
        <f>Q513</f>
        <v>4.0999999999999996</v>
      </c>
      <c r="R514" s="115" t="s">
        <v>722</v>
      </c>
      <c r="S514" s="116">
        <v>1.1499999999999999</v>
      </c>
      <c r="T514" s="103" t="s">
        <v>722</v>
      </c>
      <c r="U514" s="124" t="s">
        <v>722</v>
      </c>
      <c r="V514" s="100">
        <v>600</v>
      </c>
      <c r="W514" s="142">
        <v>8</v>
      </c>
    </row>
    <row r="515" spans="2:23" ht="22.5" x14ac:dyDescent="0.25">
      <c r="B515" s="185"/>
      <c r="C515" s="72"/>
      <c r="D515" s="69" t="s">
        <v>644</v>
      </c>
      <c r="E515" s="73" t="s">
        <v>668</v>
      </c>
      <c r="F515" s="94"/>
      <c r="G515" s="138" t="str">
        <f>CONCATENATE("Agglo","_",C511,"_",D515,"_",E515)</f>
        <v>Agglo_P6_21à25_Plat</v>
      </c>
      <c r="H515" s="75"/>
      <c r="I515" s="95">
        <v>13.3</v>
      </c>
      <c r="J515" s="95">
        <v>8.5</v>
      </c>
      <c r="K515" s="95"/>
      <c r="L515" s="95">
        <v>12.8</v>
      </c>
      <c r="M515" s="101" t="s">
        <v>722</v>
      </c>
      <c r="N515" s="101" t="s">
        <v>722</v>
      </c>
      <c r="O515" s="95">
        <v>1.7</v>
      </c>
      <c r="P515" s="113">
        <f t="shared" si="3"/>
        <v>2.8000000000000003</v>
      </c>
      <c r="Q515" s="97">
        <v>3.5</v>
      </c>
      <c r="R515" s="114" t="s">
        <v>722</v>
      </c>
      <c r="S515" s="116" t="s">
        <v>722</v>
      </c>
      <c r="T515" s="103" t="s">
        <v>722</v>
      </c>
      <c r="U515" s="99" t="s">
        <v>722</v>
      </c>
      <c r="V515" s="100">
        <v>550</v>
      </c>
      <c r="W515" s="142">
        <v>8</v>
      </c>
    </row>
    <row r="516" spans="2:23" ht="22.5" x14ac:dyDescent="0.25">
      <c r="B516" s="185"/>
      <c r="C516" s="72"/>
      <c r="D516" s="69"/>
      <c r="E516" s="73" t="s">
        <v>669</v>
      </c>
      <c r="F516" s="94"/>
      <c r="G516" s="138" t="str">
        <f>CONCATENATE("Agglo","_",C511,"_",D515,"_",E516)</f>
        <v>Agglo_P6_21à25_Chant</v>
      </c>
      <c r="H516" s="75"/>
      <c r="I516" s="112">
        <f>I515</f>
        <v>13.3</v>
      </c>
      <c r="J516" s="112">
        <f>J515</f>
        <v>8.5</v>
      </c>
      <c r="K516" s="101" t="s">
        <v>722</v>
      </c>
      <c r="L516" s="112">
        <f>L515</f>
        <v>12.8</v>
      </c>
      <c r="M516" s="112">
        <f>L515</f>
        <v>12.8</v>
      </c>
      <c r="N516" s="95">
        <v>6.8</v>
      </c>
      <c r="O516" s="101" t="s">
        <v>722</v>
      </c>
      <c r="P516" s="113">
        <f t="shared" si="3"/>
        <v>2.8000000000000003</v>
      </c>
      <c r="Q516" s="113">
        <f>Q515</f>
        <v>3.5</v>
      </c>
      <c r="R516" s="115" t="s">
        <v>722</v>
      </c>
      <c r="S516" s="116">
        <v>1.05</v>
      </c>
      <c r="T516" s="103" t="s">
        <v>722</v>
      </c>
      <c r="U516" s="124" t="s">
        <v>722</v>
      </c>
      <c r="V516" s="100">
        <v>550</v>
      </c>
      <c r="W516" s="142">
        <v>8</v>
      </c>
    </row>
    <row r="517" spans="2:23" ht="22.5" x14ac:dyDescent="0.25">
      <c r="B517" s="185"/>
      <c r="C517" s="72"/>
      <c r="D517" s="69" t="s">
        <v>648</v>
      </c>
      <c r="E517" s="73" t="s">
        <v>668</v>
      </c>
      <c r="F517" s="94"/>
      <c r="G517" s="138" t="str">
        <f>CONCATENATE("Agglo","_",C511,"_",D517,"_",E517)</f>
        <v>Agglo_P6_25à32_Plat</v>
      </c>
      <c r="H517" s="75"/>
      <c r="I517" s="95">
        <v>12.5</v>
      </c>
      <c r="J517" s="95">
        <v>8.3000000000000007</v>
      </c>
      <c r="K517" s="95"/>
      <c r="L517" s="95">
        <v>12.2</v>
      </c>
      <c r="M517" s="101" t="s">
        <v>722</v>
      </c>
      <c r="N517" s="101" t="s">
        <v>722</v>
      </c>
      <c r="O517" s="95">
        <v>1.7</v>
      </c>
      <c r="P517" s="113">
        <f t="shared" si="3"/>
        <v>2.64</v>
      </c>
      <c r="Q517" s="97">
        <v>3.3</v>
      </c>
      <c r="R517" s="114" t="s">
        <v>722</v>
      </c>
      <c r="S517" s="116" t="s">
        <v>722</v>
      </c>
      <c r="T517" s="103" t="s">
        <v>722</v>
      </c>
      <c r="U517" s="99" t="s">
        <v>722</v>
      </c>
      <c r="V517" s="100">
        <v>550</v>
      </c>
      <c r="W517" s="142">
        <v>8</v>
      </c>
    </row>
    <row r="518" spans="2:23" ht="22.5" x14ac:dyDescent="0.25">
      <c r="B518" s="185"/>
      <c r="C518" s="72"/>
      <c r="D518" s="69"/>
      <c r="E518" s="73" t="s">
        <v>669</v>
      </c>
      <c r="F518" s="94"/>
      <c r="G518" s="138" t="str">
        <f>CONCATENATE("Agglo","_",C511,"_",D517,"_",E518)</f>
        <v>Agglo_P6_25à32_Chant</v>
      </c>
      <c r="H518" s="75"/>
      <c r="I518" s="112">
        <f>I517</f>
        <v>12.5</v>
      </c>
      <c r="J518" s="112">
        <f>J517</f>
        <v>8.3000000000000007</v>
      </c>
      <c r="K518" s="101" t="s">
        <v>722</v>
      </c>
      <c r="L518" s="112">
        <f>L517</f>
        <v>12.2</v>
      </c>
      <c r="M518" s="112">
        <f>L517</f>
        <v>12.2</v>
      </c>
      <c r="N518" s="95">
        <v>6.5</v>
      </c>
      <c r="O518" s="101" t="s">
        <v>722</v>
      </c>
      <c r="P518" s="113">
        <f t="shared" si="3"/>
        <v>2.64</v>
      </c>
      <c r="Q518" s="113">
        <f>Q517</f>
        <v>3.3</v>
      </c>
      <c r="R518" s="115" t="s">
        <v>722</v>
      </c>
      <c r="S518" s="116">
        <v>0.95</v>
      </c>
      <c r="T518" s="103" t="s">
        <v>722</v>
      </c>
      <c r="U518" s="124" t="s">
        <v>722</v>
      </c>
      <c r="V518" s="100">
        <v>550</v>
      </c>
      <c r="W518" s="142">
        <v>8</v>
      </c>
    </row>
    <row r="519" spans="2:23" ht="22.5" x14ac:dyDescent="0.25">
      <c r="B519" s="185"/>
      <c r="C519" s="72"/>
      <c r="D519" s="69" t="s">
        <v>646</v>
      </c>
      <c r="E519" s="73" t="s">
        <v>668</v>
      </c>
      <c r="F519" s="94"/>
      <c r="G519" s="138" t="str">
        <f>CONCATENATE("Agglo","_",C511,"_",D519,"_",E519)</f>
        <v>Agglo_P6_33à40_Plat</v>
      </c>
      <c r="H519" s="75"/>
      <c r="I519" s="95">
        <v>11.7</v>
      </c>
      <c r="J519" s="95">
        <v>7.8</v>
      </c>
      <c r="K519" s="95"/>
      <c r="L519" s="95">
        <v>11.9</v>
      </c>
      <c r="M519" s="101" t="s">
        <v>722</v>
      </c>
      <c r="N519" s="101" t="s">
        <v>722</v>
      </c>
      <c r="O519" s="95">
        <v>1.7</v>
      </c>
      <c r="P519" s="113">
        <f t="shared" ref="P519:P544" si="4">0.8*Q519</f>
        <v>2.4800000000000004</v>
      </c>
      <c r="Q519" s="97">
        <v>3.1</v>
      </c>
      <c r="R519" s="114" t="s">
        <v>722</v>
      </c>
      <c r="S519" s="116" t="s">
        <v>722</v>
      </c>
      <c r="T519" s="103" t="s">
        <v>722</v>
      </c>
      <c r="U519" s="99" t="s">
        <v>722</v>
      </c>
      <c r="V519" s="100">
        <v>500</v>
      </c>
      <c r="W519" s="142">
        <v>8</v>
      </c>
    </row>
    <row r="520" spans="2:23" ht="22.5" x14ac:dyDescent="0.25">
      <c r="B520" s="185"/>
      <c r="C520" s="72"/>
      <c r="D520" s="69"/>
      <c r="E520" s="73" t="s">
        <v>669</v>
      </c>
      <c r="F520" s="94"/>
      <c r="G520" s="138" t="str">
        <f>CONCATENATE("Agglo","_",C511,"_",D519,"_",E520)</f>
        <v>Agglo_P6_33à40_Chant</v>
      </c>
      <c r="H520" s="75"/>
      <c r="I520" s="112">
        <f>I519</f>
        <v>11.7</v>
      </c>
      <c r="J520" s="112">
        <f>J519</f>
        <v>7.8</v>
      </c>
      <c r="K520" s="101" t="s">
        <v>722</v>
      </c>
      <c r="L520" s="112">
        <f>L519</f>
        <v>11.9</v>
      </c>
      <c r="M520" s="112">
        <f>L519</f>
        <v>11.9</v>
      </c>
      <c r="N520" s="95">
        <v>6</v>
      </c>
      <c r="O520" s="101" t="s">
        <v>722</v>
      </c>
      <c r="P520" s="113">
        <f t="shared" si="4"/>
        <v>2.4800000000000004</v>
      </c>
      <c r="Q520" s="113">
        <f>Q519</f>
        <v>3.1</v>
      </c>
      <c r="R520" s="115" t="s">
        <v>722</v>
      </c>
      <c r="S520" s="116">
        <v>0.9</v>
      </c>
      <c r="T520" s="103" t="s">
        <v>722</v>
      </c>
      <c r="U520" s="124" t="s">
        <v>722</v>
      </c>
      <c r="V520" s="100">
        <v>500</v>
      </c>
      <c r="W520" s="142">
        <v>8</v>
      </c>
    </row>
    <row r="521" spans="2:23" x14ac:dyDescent="0.25">
      <c r="B521" s="185"/>
      <c r="C521" s="72"/>
      <c r="D521" s="69" t="s">
        <v>647</v>
      </c>
      <c r="E521" s="73" t="s">
        <v>668</v>
      </c>
      <c r="F521" s="94"/>
      <c r="G521" s="138" t="str">
        <f>CONCATENATE("Agglo","_",C511,"_",D521,"_",E521)</f>
        <v>Agglo_P6_&gt;40_Plat</v>
      </c>
      <c r="H521" s="75"/>
      <c r="I521" s="95">
        <v>10</v>
      </c>
      <c r="J521" s="95">
        <v>7.5</v>
      </c>
      <c r="K521" s="95"/>
      <c r="L521" s="95">
        <v>10.4</v>
      </c>
      <c r="M521" s="101" t="s">
        <v>722</v>
      </c>
      <c r="N521" s="101" t="s">
        <v>722</v>
      </c>
      <c r="O521" s="95">
        <v>1.7</v>
      </c>
      <c r="P521" s="113">
        <f t="shared" si="4"/>
        <v>2.2399999999999998</v>
      </c>
      <c r="Q521" s="97">
        <v>2.8</v>
      </c>
      <c r="R521" s="114" t="s">
        <v>722</v>
      </c>
      <c r="S521" s="116" t="s">
        <v>722</v>
      </c>
      <c r="T521" s="103" t="s">
        <v>722</v>
      </c>
      <c r="U521" s="99" t="s">
        <v>722</v>
      </c>
      <c r="V521" s="100">
        <v>500</v>
      </c>
      <c r="W521" s="142">
        <v>8</v>
      </c>
    </row>
    <row r="522" spans="2:23" ht="22.5" x14ac:dyDescent="0.25">
      <c r="B522" s="185"/>
      <c r="C522" s="72"/>
      <c r="D522" s="69"/>
      <c r="E522" s="73" t="s">
        <v>669</v>
      </c>
      <c r="F522" s="94"/>
      <c r="G522" s="138" t="str">
        <f>CONCATENATE("Agglo","_",C511,"_",D521,"_",E522)</f>
        <v>Agglo_P6_&gt;40_Chant</v>
      </c>
      <c r="H522" s="75"/>
      <c r="I522" s="112">
        <f>I521</f>
        <v>10</v>
      </c>
      <c r="J522" s="112">
        <f>J521</f>
        <v>7.5</v>
      </c>
      <c r="K522" s="101" t="s">
        <v>722</v>
      </c>
      <c r="L522" s="112">
        <f>L521</f>
        <v>10.4</v>
      </c>
      <c r="M522" s="112">
        <f>L521</f>
        <v>10.4</v>
      </c>
      <c r="N522" s="95">
        <v>5.5</v>
      </c>
      <c r="O522" s="101" t="s">
        <v>722</v>
      </c>
      <c r="P522" s="113">
        <f t="shared" si="4"/>
        <v>2.2399999999999998</v>
      </c>
      <c r="Q522" s="113">
        <f>Q521</f>
        <v>2.8</v>
      </c>
      <c r="R522" s="115" t="s">
        <v>722</v>
      </c>
      <c r="S522" s="116">
        <v>0.88</v>
      </c>
      <c r="T522" s="103" t="s">
        <v>722</v>
      </c>
      <c r="U522" s="124" t="s">
        <v>722</v>
      </c>
      <c r="V522" s="100">
        <v>500</v>
      </c>
      <c r="W522" s="142">
        <v>8</v>
      </c>
    </row>
    <row r="523" spans="2:23" x14ac:dyDescent="0.25">
      <c r="B523" s="185"/>
      <c r="C523" s="72" t="s">
        <v>610</v>
      </c>
      <c r="D523" s="69" t="s">
        <v>642</v>
      </c>
      <c r="E523" s="73" t="s">
        <v>668</v>
      </c>
      <c r="F523" s="94"/>
      <c r="G523" s="138" t="str">
        <f>CONCATENATE("Agglo","_",C523,"_",D523,"_",E523)</f>
        <v>Agglo_P7_6à13_Plat</v>
      </c>
      <c r="H523" s="75"/>
      <c r="I523" s="95">
        <v>18.3</v>
      </c>
      <c r="J523" s="95">
        <v>11.5</v>
      </c>
      <c r="K523" s="95"/>
      <c r="L523" s="95">
        <v>15.5</v>
      </c>
      <c r="M523" s="101" t="s">
        <v>722</v>
      </c>
      <c r="N523" s="101" t="s">
        <v>722</v>
      </c>
      <c r="O523" s="95">
        <v>2.4</v>
      </c>
      <c r="P523" s="113">
        <f t="shared" si="4"/>
        <v>3.6799999999999997</v>
      </c>
      <c r="Q523" s="97">
        <v>4.5999999999999996</v>
      </c>
      <c r="R523" s="114" t="s">
        <v>722</v>
      </c>
      <c r="S523" s="116" t="s">
        <v>722</v>
      </c>
      <c r="T523" s="103" t="s">
        <v>722</v>
      </c>
      <c r="U523" s="99" t="s">
        <v>722</v>
      </c>
      <c r="V523" s="100">
        <v>650</v>
      </c>
      <c r="W523" s="142">
        <v>8</v>
      </c>
    </row>
    <row r="524" spans="2:23" ht="22.5" x14ac:dyDescent="0.25">
      <c r="B524" s="185"/>
      <c r="C524" s="72"/>
      <c r="D524" s="69"/>
      <c r="E524" s="73" t="s">
        <v>669</v>
      </c>
      <c r="F524" s="94"/>
      <c r="G524" s="138" t="str">
        <f>CONCATENATE("Agglo","_",C523,"_",D523,"_",E524)</f>
        <v>Agglo_P7_6à13_Chant</v>
      </c>
      <c r="H524" s="75"/>
      <c r="I524" s="112">
        <f>I523</f>
        <v>18.3</v>
      </c>
      <c r="J524" s="112">
        <f>J523</f>
        <v>11.5</v>
      </c>
      <c r="K524" s="101" t="s">
        <v>722</v>
      </c>
      <c r="L524" s="112">
        <f>L523</f>
        <v>15.5</v>
      </c>
      <c r="M524" s="112">
        <f>L523</f>
        <v>15.5</v>
      </c>
      <c r="N524" s="95">
        <v>8.6</v>
      </c>
      <c r="O524" s="101" t="s">
        <v>722</v>
      </c>
      <c r="P524" s="113">
        <f t="shared" si="4"/>
        <v>3.6799999999999997</v>
      </c>
      <c r="Q524" s="113">
        <f>Q523</f>
        <v>4.5999999999999996</v>
      </c>
      <c r="R524" s="115" t="s">
        <v>722</v>
      </c>
      <c r="S524" s="116">
        <v>1.25</v>
      </c>
      <c r="T524" s="103" t="s">
        <v>722</v>
      </c>
      <c r="U524" s="124" t="s">
        <v>722</v>
      </c>
      <c r="V524" s="100">
        <v>650</v>
      </c>
      <c r="W524" s="142">
        <v>8</v>
      </c>
    </row>
    <row r="525" spans="2:23" ht="22.5" x14ac:dyDescent="0.25">
      <c r="B525" s="185"/>
      <c r="C525" s="72"/>
      <c r="D525" s="69" t="s">
        <v>643</v>
      </c>
      <c r="E525" s="73" t="s">
        <v>668</v>
      </c>
      <c r="F525" s="94"/>
      <c r="G525" s="138" t="str">
        <f>CONCATENATE("Agglo","_",C523,"_",D525,"_",E525)</f>
        <v>Agglo_P7_14à20_Plat</v>
      </c>
      <c r="H525" s="75"/>
      <c r="I525" s="95">
        <v>16.7</v>
      </c>
      <c r="J525" s="95">
        <v>10.6</v>
      </c>
      <c r="K525" s="95"/>
      <c r="L525" s="95">
        <v>14.7</v>
      </c>
      <c r="M525" s="101" t="s">
        <v>722</v>
      </c>
      <c r="N525" s="101" t="s">
        <v>722</v>
      </c>
      <c r="O525" s="95">
        <v>2.2000000000000002</v>
      </c>
      <c r="P525" s="113">
        <f t="shared" si="4"/>
        <v>3.3600000000000003</v>
      </c>
      <c r="Q525" s="97">
        <v>4.2</v>
      </c>
      <c r="R525" s="114" t="s">
        <v>722</v>
      </c>
      <c r="S525" s="116" t="s">
        <v>722</v>
      </c>
      <c r="T525" s="103" t="s">
        <v>722</v>
      </c>
      <c r="U525" s="99" t="s">
        <v>722</v>
      </c>
      <c r="V525" s="100">
        <v>600</v>
      </c>
      <c r="W525" s="142">
        <v>8</v>
      </c>
    </row>
    <row r="526" spans="2:23" ht="22.5" x14ac:dyDescent="0.25">
      <c r="B526" s="185"/>
      <c r="C526" s="72"/>
      <c r="D526" s="69"/>
      <c r="E526" s="73" t="s">
        <v>669</v>
      </c>
      <c r="F526" s="94"/>
      <c r="G526" s="138" t="str">
        <f>CONCATENATE("Agglo","_",C523,"_",D525,"_",E526)</f>
        <v>Agglo_P7_14à20_Chant</v>
      </c>
      <c r="H526" s="75"/>
      <c r="I526" s="112">
        <f>I525</f>
        <v>16.7</v>
      </c>
      <c r="J526" s="112">
        <f>J525</f>
        <v>10.6</v>
      </c>
      <c r="K526" s="101" t="s">
        <v>722</v>
      </c>
      <c r="L526" s="112">
        <f>L525</f>
        <v>14.7</v>
      </c>
      <c r="M526" s="112">
        <f>L525</f>
        <v>14.7</v>
      </c>
      <c r="N526" s="95">
        <v>8.1</v>
      </c>
      <c r="O526" s="101" t="s">
        <v>722</v>
      </c>
      <c r="P526" s="113">
        <f t="shared" si="4"/>
        <v>3.3600000000000003</v>
      </c>
      <c r="Q526" s="113">
        <f>Q525</f>
        <v>4.2</v>
      </c>
      <c r="R526" s="115" t="s">
        <v>722</v>
      </c>
      <c r="S526" s="116">
        <v>1.2</v>
      </c>
      <c r="T526" s="103" t="s">
        <v>722</v>
      </c>
      <c r="U526" s="124" t="s">
        <v>722</v>
      </c>
      <c r="V526" s="100">
        <v>600</v>
      </c>
      <c r="W526" s="142">
        <v>8</v>
      </c>
    </row>
    <row r="527" spans="2:23" ht="22.5" x14ac:dyDescent="0.25">
      <c r="B527" s="185"/>
      <c r="C527" s="72"/>
      <c r="D527" s="69" t="s">
        <v>644</v>
      </c>
      <c r="E527" s="73" t="s">
        <v>668</v>
      </c>
      <c r="F527" s="94"/>
      <c r="G527" s="138" t="str">
        <f>CONCATENATE("Agglo","_",C523,"_",D527,"_",E527)</f>
        <v>Agglo_P7_21à25_Plat</v>
      </c>
      <c r="H527" s="75"/>
      <c r="I527" s="95">
        <v>15.4</v>
      </c>
      <c r="J527" s="95">
        <v>9.8000000000000007</v>
      </c>
      <c r="K527" s="95"/>
      <c r="L527" s="95">
        <v>13.7</v>
      </c>
      <c r="M527" s="101" t="s">
        <v>722</v>
      </c>
      <c r="N527" s="101" t="s">
        <v>722</v>
      </c>
      <c r="O527" s="95">
        <v>2</v>
      </c>
      <c r="P527" s="113">
        <f t="shared" si="4"/>
        <v>3.2</v>
      </c>
      <c r="Q527" s="97">
        <v>4</v>
      </c>
      <c r="R527" s="114" t="s">
        <v>722</v>
      </c>
      <c r="S527" s="116" t="s">
        <v>722</v>
      </c>
      <c r="T527" s="103" t="s">
        <v>722</v>
      </c>
      <c r="U527" s="99" t="s">
        <v>722</v>
      </c>
      <c r="V527" s="100">
        <v>550</v>
      </c>
      <c r="W527" s="142">
        <v>8</v>
      </c>
    </row>
    <row r="528" spans="2:23" ht="22.5" x14ac:dyDescent="0.25">
      <c r="B528" s="185"/>
      <c r="C528" s="72"/>
      <c r="D528" s="69"/>
      <c r="E528" s="73" t="s">
        <v>669</v>
      </c>
      <c r="F528" s="94"/>
      <c r="G528" s="138" t="str">
        <f>CONCATENATE("Agglo","_",C523,"_",D527,"_",E528)</f>
        <v>Agglo_P7_21à25_Chant</v>
      </c>
      <c r="H528" s="75"/>
      <c r="I528" s="112">
        <f>I527</f>
        <v>15.4</v>
      </c>
      <c r="J528" s="112">
        <f>J527</f>
        <v>9.8000000000000007</v>
      </c>
      <c r="K528" s="101" t="s">
        <v>722</v>
      </c>
      <c r="L528" s="112">
        <f>L527</f>
        <v>13.7</v>
      </c>
      <c r="M528" s="112">
        <f>L527</f>
        <v>13.7</v>
      </c>
      <c r="N528" s="95">
        <v>7.9</v>
      </c>
      <c r="O528" s="101" t="s">
        <v>722</v>
      </c>
      <c r="P528" s="113">
        <f t="shared" si="4"/>
        <v>3.2</v>
      </c>
      <c r="Q528" s="113">
        <f>Q527</f>
        <v>4</v>
      </c>
      <c r="R528" s="115" t="s">
        <v>722</v>
      </c>
      <c r="S528" s="116">
        <v>1.1499999999999999</v>
      </c>
      <c r="T528" s="103" t="s">
        <v>722</v>
      </c>
      <c r="U528" s="124" t="s">
        <v>722</v>
      </c>
      <c r="V528" s="100">
        <v>550</v>
      </c>
      <c r="W528" s="142">
        <v>8</v>
      </c>
    </row>
    <row r="529" spans="2:23" ht="22.5" x14ac:dyDescent="0.25">
      <c r="B529" s="185"/>
      <c r="C529" s="72"/>
      <c r="D529" s="69" t="s">
        <v>648</v>
      </c>
      <c r="E529" s="73" t="s">
        <v>668</v>
      </c>
      <c r="F529" s="94"/>
      <c r="G529" s="138" t="str">
        <f>CONCATENATE("Agglo","_",C523,"_",D529,"_",E529)</f>
        <v>Agglo_P7_25à32_Plat</v>
      </c>
      <c r="H529" s="75"/>
      <c r="I529" s="95">
        <v>14.2</v>
      </c>
      <c r="J529" s="95">
        <v>9.4</v>
      </c>
      <c r="K529" s="95"/>
      <c r="L529" s="95">
        <v>13.5</v>
      </c>
      <c r="M529" s="101" t="s">
        <v>722</v>
      </c>
      <c r="N529" s="101" t="s">
        <v>722</v>
      </c>
      <c r="O529" s="95">
        <v>1.9</v>
      </c>
      <c r="P529" s="113">
        <f t="shared" si="4"/>
        <v>3.12</v>
      </c>
      <c r="Q529" s="97">
        <v>3.9</v>
      </c>
      <c r="R529" s="114" t="s">
        <v>722</v>
      </c>
      <c r="S529" s="116" t="s">
        <v>722</v>
      </c>
      <c r="T529" s="103" t="s">
        <v>722</v>
      </c>
      <c r="U529" s="99" t="s">
        <v>722</v>
      </c>
      <c r="V529" s="100">
        <v>550</v>
      </c>
      <c r="W529" s="142">
        <v>8</v>
      </c>
    </row>
    <row r="530" spans="2:23" ht="22.5" x14ac:dyDescent="0.25">
      <c r="B530" s="185"/>
      <c r="C530" s="72"/>
      <c r="D530" s="69"/>
      <c r="E530" s="73" t="s">
        <v>669</v>
      </c>
      <c r="F530" s="94"/>
      <c r="G530" s="138" t="str">
        <f>CONCATENATE("Agglo","_",C523,"_",D529,"_",E530)</f>
        <v>Agglo_P7_25à32_Chant</v>
      </c>
      <c r="H530" s="75"/>
      <c r="I530" s="112">
        <f>I529</f>
        <v>14.2</v>
      </c>
      <c r="J530" s="112">
        <f>J529</f>
        <v>9.4</v>
      </c>
      <c r="K530" s="101" t="s">
        <v>722</v>
      </c>
      <c r="L530" s="112">
        <f>L529</f>
        <v>13.5</v>
      </c>
      <c r="M530" s="112">
        <f>L529</f>
        <v>13.5</v>
      </c>
      <c r="N530" s="95">
        <v>7.4</v>
      </c>
      <c r="O530" s="101" t="s">
        <v>722</v>
      </c>
      <c r="P530" s="113">
        <f t="shared" si="4"/>
        <v>3.12</v>
      </c>
      <c r="Q530" s="113">
        <f>Q529</f>
        <v>3.9</v>
      </c>
      <c r="R530" s="115" t="s">
        <v>722</v>
      </c>
      <c r="S530" s="116">
        <v>1.1000000000000001</v>
      </c>
      <c r="T530" s="103" t="s">
        <v>722</v>
      </c>
      <c r="U530" s="124" t="s">
        <v>722</v>
      </c>
      <c r="V530" s="100">
        <v>550</v>
      </c>
      <c r="W530" s="142">
        <v>8</v>
      </c>
    </row>
    <row r="531" spans="2:23" ht="22.5" x14ac:dyDescent="0.25">
      <c r="B531" s="185"/>
      <c r="C531" s="72"/>
      <c r="D531" s="69" t="s">
        <v>646</v>
      </c>
      <c r="E531" s="73" t="s">
        <v>668</v>
      </c>
      <c r="F531" s="94"/>
      <c r="G531" s="138" t="str">
        <f>CONCATENATE("Agglo","_",C523,"_",D531,"_",E531)</f>
        <v>Agglo_P7_33à40_Plat</v>
      </c>
      <c r="H531" s="75"/>
      <c r="I531" s="95">
        <v>13.3</v>
      </c>
      <c r="J531" s="95">
        <v>9</v>
      </c>
      <c r="K531" s="95"/>
      <c r="L531" s="95">
        <v>13.2</v>
      </c>
      <c r="M531" s="101" t="s">
        <v>722</v>
      </c>
      <c r="N531" s="101" t="s">
        <v>722</v>
      </c>
      <c r="O531" s="95">
        <v>1.9</v>
      </c>
      <c r="P531" s="113">
        <f t="shared" si="4"/>
        <v>2.8000000000000003</v>
      </c>
      <c r="Q531" s="97">
        <v>3.5</v>
      </c>
      <c r="R531" s="114" t="s">
        <v>722</v>
      </c>
      <c r="S531" s="116" t="s">
        <v>722</v>
      </c>
      <c r="T531" s="103" t="s">
        <v>722</v>
      </c>
      <c r="U531" s="99" t="s">
        <v>722</v>
      </c>
      <c r="V531" s="100">
        <v>500</v>
      </c>
      <c r="W531" s="142">
        <v>8</v>
      </c>
    </row>
    <row r="532" spans="2:23" ht="22.5" x14ac:dyDescent="0.25">
      <c r="B532" s="185"/>
      <c r="C532" s="72"/>
      <c r="D532" s="69"/>
      <c r="E532" s="73" t="s">
        <v>669</v>
      </c>
      <c r="F532" s="94"/>
      <c r="G532" s="138" t="str">
        <f>CONCATENATE("Agglo","_",C523,"_",D531,"_",E532)</f>
        <v>Agglo_P7_33à40_Chant</v>
      </c>
      <c r="H532" s="75"/>
      <c r="I532" s="112">
        <f>I531</f>
        <v>13.3</v>
      </c>
      <c r="J532" s="112">
        <f>J531</f>
        <v>9</v>
      </c>
      <c r="K532" s="101" t="s">
        <v>722</v>
      </c>
      <c r="L532" s="112">
        <f>L531</f>
        <v>13.2</v>
      </c>
      <c r="M532" s="112">
        <f>L531</f>
        <v>13.2</v>
      </c>
      <c r="N532" s="95">
        <v>7.2</v>
      </c>
      <c r="O532" s="101" t="s">
        <v>722</v>
      </c>
      <c r="P532" s="113">
        <f t="shared" si="4"/>
        <v>2.8000000000000003</v>
      </c>
      <c r="Q532" s="113">
        <f>Q531</f>
        <v>3.5</v>
      </c>
      <c r="R532" s="115" t="s">
        <v>722</v>
      </c>
      <c r="S532" s="116">
        <v>1.05</v>
      </c>
      <c r="T532" s="103" t="s">
        <v>722</v>
      </c>
      <c r="U532" s="124" t="s">
        <v>722</v>
      </c>
      <c r="V532" s="100">
        <v>500</v>
      </c>
      <c r="W532" s="142">
        <v>8</v>
      </c>
    </row>
    <row r="533" spans="2:23" x14ac:dyDescent="0.25">
      <c r="B533" s="185"/>
      <c r="C533" s="72"/>
      <c r="D533" s="69" t="s">
        <v>647</v>
      </c>
      <c r="E533" s="73" t="s">
        <v>668</v>
      </c>
      <c r="F533" s="94"/>
      <c r="G533" s="138" t="str">
        <f>CONCATENATE("Agglo","_",C523,"_",D533,"_",E533)</f>
        <v>Agglo_P7_&gt;40_Plat</v>
      </c>
      <c r="H533" s="75"/>
      <c r="I533" s="95">
        <v>12.5</v>
      </c>
      <c r="J533" s="95">
        <v>8</v>
      </c>
      <c r="K533" s="95"/>
      <c r="L533" s="95">
        <v>13</v>
      </c>
      <c r="M533" s="101" t="s">
        <v>722</v>
      </c>
      <c r="N533" s="101" t="s">
        <v>722</v>
      </c>
      <c r="O533" s="95">
        <v>1.8</v>
      </c>
      <c r="P533" s="113">
        <f t="shared" si="4"/>
        <v>2.5600000000000005</v>
      </c>
      <c r="Q533" s="97">
        <v>3.2</v>
      </c>
      <c r="R533" s="114" t="s">
        <v>722</v>
      </c>
      <c r="S533" s="116" t="s">
        <v>722</v>
      </c>
      <c r="T533" s="103" t="s">
        <v>722</v>
      </c>
      <c r="U533" s="99" t="s">
        <v>722</v>
      </c>
      <c r="V533" s="100">
        <v>500</v>
      </c>
      <c r="W533" s="142">
        <v>8</v>
      </c>
    </row>
    <row r="534" spans="2:23" ht="22.5" x14ac:dyDescent="0.25">
      <c r="B534" s="185"/>
      <c r="C534" s="72"/>
      <c r="D534" s="69"/>
      <c r="E534" s="73" t="s">
        <v>669</v>
      </c>
      <c r="F534" s="94"/>
      <c r="G534" s="138" t="str">
        <f>CONCATENATE("Agglo","_",C523,"_",D533,"_",E534)</f>
        <v>Agglo_P7_&gt;40_Chant</v>
      </c>
      <c r="H534" s="75"/>
      <c r="I534" s="112">
        <f>I533</f>
        <v>12.5</v>
      </c>
      <c r="J534" s="112">
        <f>J533</f>
        <v>8</v>
      </c>
      <c r="K534" s="101" t="s">
        <v>722</v>
      </c>
      <c r="L534" s="112">
        <f>L533</f>
        <v>13</v>
      </c>
      <c r="M534" s="112">
        <f>L533</f>
        <v>13</v>
      </c>
      <c r="N534" s="95">
        <v>7</v>
      </c>
      <c r="O534" s="101" t="s">
        <v>722</v>
      </c>
      <c r="P534" s="113">
        <f t="shared" si="4"/>
        <v>2.5600000000000005</v>
      </c>
      <c r="Q534" s="113">
        <f>Q533</f>
        <v>3.2</v>
      </c>
      <c r="R534" s="115" t="s">
        <v>722</v>
      </c>
      <c r="S534" s="116">
        <v>1</v>
      </c>
      <c r="T534" s="103" t="s">
        <v>722</v>
      </c>
      <c r="U534" s="124" t="s">
        <v>722</v>
      </c>
      <c r="V534" s="100">
        <v>500</v>
      </c>
      <c r="W534" s="142">
        <v>8</v>
      </c>
    </row>
    <row r="535" spans="2:23" ht="33.75" x14ac:dyDescent="0.25">
      <c r="B535" s="185" t="s">
        <v>593</v>
      </c>
      <c r="C535" s="72" t="s">
        <v>611</v>
      </c>
      <c r="D535" s="69" t="s">
        <v>649</v>
      </c>
      <c r="E535" s="73" t="s">
        <v>668</v>
      </c>
      <c r="F535" s="94"/>
      <c r="G535" s="138" t="str">
        <f>CONCATENATE("Fibres","_",$C$535,"_",D535,"_",E535)</f>
        <v>Fibres_Panneaux durs (HB.HLA2)_≤3,5_Plat</v>
      </c>
      <c r="H535" s="75"/>
      <c r="I535" s="95">
        <v>37</v>
      </c>
      <c r="J535" s="95">
        <v>27</v>
      </c>
      <c r="K535" s="95"/>
      <c r="L535" s="95">
        <v>28</v>
      </c>
      <c r="M535" s="101" t="s">
        <v>722</v>
      </c>
      <c r="N535" s="101" t="s">
        <v>722</v>
      </c>
      <c r="O535" s="95">
        <v>3</v>
      </c>
      <c r="P535" s="113">
        <f t="shared" si="4"/>
        <v>4</v>
      </c>
      <c r="Q535" s="97">
        <v>5</v>
      </c>
      <c r="R535" s="114" t="s">
        <v>722</v>
      </c>
      <c r="S535" s="116" t="s">
        <v>722</v>
      </c>
      <c r="T535" s="103" t="s">
        <v>722</v>
      </c>
      <c r="U535" s="99" t="s">
        <v>722</v>
      </c>
      <c r="V535" s="100">
        <v>900</v>
      </c>
      <c r="W535" s="142">
        <v>9</v>
      </c>
    </row>
    <row r="536" spans="2:23" ht="45" x14ac:dyDescent="0.25">
      <c r="B536" s="185"/>
      <c r="C536" s="72"/>
      <c r="D536" s="69"/>
      <c r="E536" s="73" t="s">
        <v>669</v>
      </c>
      <c r="F536" s="94"/>
      <c r="G536" s="138" t="str">
        <f>CONCATENATE("Fibres","_",$C$535,"_",D535,"_",E536)</f>
        <v>Fibres_Panneaux durs (HB.HLA2)_≤3,5_Chant</v>
      </c>
      <c r="H536" s="75"/>
      <c r="I536" s="112">
        <f>I535</f>
        <v>37</v>
      </c>
      <c r="J536" s="112">
        <f>J535</f>
        <v>27</v>
      </c>
      <c r="K536" s="101" t="s">
        <v>722</v>
      </c>
      <c r="L536" s="112">
        <f>L535</f>
        <v>28</v>
      </c>
      <c r="M536" s="112">
        <f>L535</f>
        <v>28</v>
      </c>
      <c r="N536" s="95">
        <v>19</v>
      </c>
      <c r="O536" s="101" t="s">
        <v>722</v>
      </c>
      <c r="P536" s="113">
        <f t="shared" si="4"/>
        <v>4</v>
      </c>
      <c r="Q536" s="113">
        <f>Q535</f>
        <v>5</v>
      </c>
      <c r="R536" s="115" t="s">
        <v>722</v>
      </c>
      <c r="S536" s="116">
        <v>2.1</v>
      </c>
      <c r="T536" s="103" t="s">
        <v>722</v>
      </c>
      <c r="U536" s="124" t="s">
        <v>722</v>
      </c>
      <c r="V536" s="100">
        <v>900</v>
      </c>
      <c r="W536" s="142">
        <v>9</v>
      </c>
    </row>
    <row r="537" spans="2:23" ht="45" x14ac:dyDescent="0.25">
      <c r="B537" s="185"/>
      <c r="C537" s="72"/>
      <c r="D537" s="69" t="s">
        <v>650</v>
      </c>
      <c r="E537" s="73" t="s">
        <v>668</v>
      </c>
      <c r="F537" s="94"/>
      <c r="G537" s="138" t="str">
        <f>CONCATENATE("Fibres","_",$C$535,"_",D537,"_",E537)</f>
        <v>Fibres_Panneaux durs (HB.HLA2)_3,5à5,5_Plat</v>
      </c>
      <c r="H537" s="75"/>
      <c r="I537" s="95">
        <v>35</v>
      </c>
      <c r="J537" s="95">
        <v>26</v>
      </c>
      <c r="K537" s="95"/>
      <c r="L537" s="95">
        <v>27</v>
      </c>
      <c r="M537" s="101" t="s">
        <v>722</v>
      </c>
      <c r="N537" s="101" t="s">
        <v>722</v>
      </c>
      <c r="O537" s="95">
        <v>3</v>
      </c>
      <c r="P537" s="113">
        <f t="shared" si="4"/>
        <v>3.84</v>
      </c>
      <c r="Q537" s="97">
        <v>4.8</v>
      </c>
      <c r="R537" s="114" t="s">
        <v>722</v>
      </c>
      <c r="S537" s="116" t="s">
        <v>722</v>
      </c>
      <c r="T537" s="103" t="s">
        <v>722</v>
      </c>
      <c r="U537" s="99" t="s">
        <v>722</v>
      </c>
      <c r="V537" s="100">
        <v>850</v>
      </c>
      <c r="W537" s="142">
        <v>9</v>
      </c>
    </row>
    <row r="538" spans="2:23" ht="45" x14ac:dyDescent="0.25">
      <c r="B538" s="185"/>
      <c r="C538" s="72"/>
      <c r="D538" s="69"/>
      <c r="E538" s="73" t="s">
        <v>669</v>
      </c>
      <c r="F538" s="94"/>
      <c r="G538" s="138" t="str">
        <f>CONCATENATE("Fibres","_",$C$535,"_",D537,"_",E538)</f>
        <v>Fibres_Panneaux durs (HB.HLA2)_3,5à5,5_Chant</v>
      </c>
      <c r="H538" s="75"/>
      <c r="I538" s="112">
        <f>I537</f>
        <v>35</v>
      </c>
      <c r="J538" s="112">
        <f>J537</f>
        <v>26</v>
      </c>
      <c r="K538" s="101" t="s">
        <v>722</v>
      </c>
      <c r="L538" s="112">
        <f>L537</f>
        <v>27</v>
      </c>
      <c r="M538" s="112">
        <f>L537</f>
        <v>27</v>
      </c>
      <c r="N538" s="95">
        <v>18</v>
      </c>
      <c r="O538" s="101" t="s">
        <v>722</v>
      </c>
      <c r="P538" s="113">
        <f t="shared" si="4"/>
        <v>3.84</v>
      </c>
      <c r="Q538" s="113">
        <f>Q537</f>
        <v>4.8</v>
      </c>
      <c r="R538" s="115" t="s">
        <v>722</v>
      </c>
      <c r="S538" s="116">
        <v>2</v>
      </c>
      <c r="T538" s="103" t="s">
        <v>722</v>
      </c>
      <c r="U538" s="124" t="s">
        <v>722</v>
      </c>
      <c r="V538" s="100">
        <v>850</v>
      </c>
      <c r="W538" s="142">
        <v>9</v>
      </c>
    </row>
    <row r="539" spans="2:23" ht="33.75" x14ac:dyDescent="0.25">
      <c r="B539" s="185"/>
      <c r="C539" s="72"/>
      <c r="D539" s="69" t="s">
        <v>651</v>
      </c>
      <c r="E539" s="73" t="s">
        <v>668</v>
      </c>
      <c r="F539" s="94"/>
      <c r="G539" s="138" t="str">
        <f>CONCATENATE("Fibres","_",$C$535,"_",D539,"_",E539)</f>
        <v>Fibres_Panneaux durs (HB.HLA2)_&gt;5,5_Plat</v>
      </c>
      <c r="H539" s="75"/>
      <c r="I539" s="95">
        <v>32</v>
      </c>
      <c r="J539" s="95">
        <v>23</v>
      </c>
      <c r="K539" s="95"/>
      <c r="L539" s="95">
        <v>24</v>
      </c>
      <c r="M539" s="101" t="s">
        <v>722</v>
      </c>
      <c r="N539" s="101" t="s">
        <v>722</v>
      </c>
      <c r="O539" s="95">
        <v>2.5</v>
      </c>
      <c r="P539" s="113">
        <f t="shared" si="4"/>
        <v>3.6799999999999997</v>
      </c>
      <c r="Q539" s="97">
        <v>4.5999999999999996</v>
      </c>
      <c r="R539" s="114" t="s">
        <v>722</v>
      </c>
      <c r="S539" s="116" t="s">
        <v>722</v>
      </c>
      <c r="T539" s="103" t="s">
        <v>722</v>
      </c>
      <c r="U539" s="99" t="s">
        <v>722</v>
      </c>
      <c r="V539" s="100">
        <v>800</v>
      </c>
      <c r="W539" s="142">
        <v>9</v>
      </c>
    </row>
    <row r="540" spans="2:23" ht="45" x14ac:dyDescent="0.25">
      <c r="B540" s="185"/>
      <c r="C540" s="72"/>
      <c r="D540" s="69"/>
      <c r="E540" s="73" t="s">
        <v>669</v>
      </c>
      <c r="F540" s="94"/>
      <c r="G540" s="138" t="str">
        <f>CONCATENATE("Fibres","_",$C$535,"_",D539,"_",E540)</f>
        <v>Fibres_Panneaux durs (HB.HLA2)_&gt;5,5_Chant</v>
      </c>
      <c r="H540" s="75"/>
      <c r="I540" s="112">
        <f>I539</f>
        <v>32</v>
      </c>
      <c r="J540" s="112">
        <f>J539</f>
        <v>23</v>
      </c>
      <c r="K540" s="101" t="s">
        <v>722</v>
      </c>
      <c r="L540" s="112">
        <f>L539</f>
        <v>24</v>
      </c>
      <c r="M540" s="112">
        <f>L539</f>
        <v>24</v>
      </c>
      <c r="N540" s="95">
        <v>16</v>
      </c>
      <c r="O540" s="101" t="s">
        <v>722</v>
      </c>
      <c r="P540" s="113">
        <f t="shared" si="4"/>
        <v>3.6799999999999997</v>
      </c>
      <c r="Q540" s="113">
        <f>Q539</f>
        <v>4.5999999999999996</v>
      </c>
      <c r="R540" s="115" t="s">
        <v>722</v>
      </c>
      <c r="S540" s="116">
        <v>1.9</v>
      </c>
      <c r="T540" s="103" t="s">
        <v>722</v>
      </c>
      <c r="U540" s="124" t="s">
        <v>722</v>
      </c>
      <c r="V540" s="100">
        <v>800</v>
      </c>
      <c r="W540" s="142">
        <v>9</v>
      </c>
    </row>
    <row r="541" spans="2:23" ht="33.75" x14ac:dyDescent="0.25">
      <c r="B541" s="185"/>
      <c r="C541" s="72" t="s">
        <v>612</v>
      </c>
      <c r="D541" s="69" t="s">
        <v>652</v>
      </c>
      <c r="E541" s="73" t="s">
        <v>668</v>
      </c>
      <c r="F541" s="94"/>
      <c r="G541" s="138" t="str">
        <f>CONCATENATE("Fibres","_",C541,"_",D541,"_",E541)</f>
        <v>Fibres_Panneaux mi-durs (MBH.LA2)_≤10_Plat</v>
      </c>
      <c r="H541" s="75"/>
      <c r="I541" s="95">
        <v>17</v>
      </c>
      <c r="J541" s="95">
        <v>9</v>
      </c>
      <c r="K541" s="95"/>
      <c r="L541" s="95">
        <v>9</v>
      </c>
      <c r="M541" s="101" t="s">
        <v>722</v>
      </c>
      <c r="N541" s="101" t="s">
        <v>722</v>
      </c>
      <c r="O541" s="95">
        <v>0.3</v>
      </c>
      <c r="P541" s="113">
        <f t="shared" si="4"/>
        <v>2.4800000000000004</v>
      </c>
      <c r="Q541" s="97">
        <v>3.1</v>
      </c>
      <c r="R541" s="114" t="s">
        <v>722</v>
      </c>
      <c r="S541" s="116" t="s">
        <v>722</v>
      </c>
      <c r="T541" s="103" t="s">
        <v>722</v>
      </c>
      <c r="U541" s="99" t="s">
        <v>722</v>
      </c>
      <c r="V541" s="100">
        <v>650</v>
      </c>
      <c r="W541" s="142">
        <v>10</v>
      </c>
    </row>
    <row r="542" spans="2:23" ht="45" x14ac:dyDescent="0.25">
      <c r="B542" s="185"/>
      <c r="C542" s="72"/>
      <c r="D542" s="69"/>
      <c r="E542" s="73" t="s">
        <v>669</v>
      </c>
      <c r="F542" s="94"/>
      <c r="G542" s="138" t="str">
        <f>CONCATENATE("Fibres","_",C541,"_",D541,"_",E542)</f>
        <v>Fibres_Panneaux mi-durs (MBH.LA2)_≤10_Chant</v>
      </c>
      <c r="H542" s="75"/>
      <c r="I542" s="112">
        <f>I541</f>
        <v>17</v>
      </c>
      <c r="J542" s="112">
        <f>J541</f>
        <v>9</v>
      </c>
      <c r="K542" s="101" t="s">
        <v>722</v>
      </c>
      <c r="L542" s="112">
        <f>L541</f>
        <v>9</v>
      </c>
      <c r="M542" s="112">
        <f>L541</f>
        <v>9</v>
      </c>
      <c r="N542" s="95">
        <v>5.5</v>
      </c>
      <c r="O542" s="101" t="s">
        <v>722</v>
      </c>
      <c r="P542" s="113">
        <f t="shared" si="4"/>
        <v>2.4800000000000004</v>
      </c>
      <c r="Q542" s="113">
        <f>Q541</f>
        <v>3.1</v>
      </c>
      <c r="R542" s="115" t="s">
        <v>722</v>
      </c>
      <c r="S542" s="116">
        <v>1.3</v>
      </c>
      <c r="T542" s="103" t="s">
        <v>722</v>
      </c>
      <c r="U542" s="124" t="s">
        <v>722</v>
      </c>
      <c r="V542" s="100">
        <v>650</v>
      </c>
      <c r="W542" s="142">
        <v>10</v>
      </c>
    </row>
    <row r="543" spans="2:23" ht="33.75" x14ac:dyDescent="0.25">
      <c r="B543" s="185"/>
      <c r="C543" s="72"/>
      <c r="D543" s="69" t="s">
        <v>653</v>
      </c>
      <c r="E543" s="73" t="s">
        <v>668</v>
      </c>
      <c r="F543" s="94"/>
      <c r="G543" s="138" t="str">
        <f>CONCATENATE("Fibres","_",C541,"_",D543,"_",E543)</f>
        <v>Fibres_Panneaux mi-durs (MBH.LA2)_&gt;10_Plat</v>
      </c>
      <c r="H543" s="75"/>
      <c r="I543" s="95">
        <v>15</v>
      </c>
      <c r="J543" s="95">
        <v>8</v>
      </c>
      <c r="K543" s="95"/>
      <c r="L543" s="95">
        <v>8</v>
      </c>
      <c r="M543" s="101" t="s">
        <v>722</v>
      </c>
      <c r="N543" s="101" t="s">
        <v>722</v>
      </c>
      <c r="O543" s="97">
        <v>0.25</v>
      </c>
      <c r="P543" s="113">
        <f t="shared" si="4"/>
        <v>2.3199999999999998</v>
      </c>
      <c r="Q543" s="97">
        <v>2.9</v>
      </c>
      <c r="R543" s="114" t="s">
        <v>722</v>
      </c>
      <c r="S543" s="116" t="s">
        <v>722</v>
      </c>
      <c r="T543" s="103" t="s">
        <v>722</v>
      </c>
      <c r="U543" s="99" t="s">
        <v>722</v>
      </c>
      <c r="V543" s="100">
        <v>600</v>
      </c>
      <c r="W543" s="142">
        <v>10</v>
      </c>
    </row>
    <row r="544" spans="2:23" ht="45" x14ac:dyDescent="0.25">
      <c r="B544" s="185"/>
      <c r="C544" s="72"/>
      <c r="D544" s="69"/>
      <c r="E544" s="73" t="s">
        <v>669</v>
      </c>
      <c r="F544" s="94"/>
      <c r="G544" s="138" t="str">
        <f>CONCATENATE("Fibres","_",C541,"_",D543,"_",E544)</f>
        <v>Fibres_Panneaux mi-durs (MBH.LA2)_&gt;10_Chant</v>
      </c>
      <c r="H544" s="75"/>
      <c r="I544" s="112">
        <f>I543</f>
        <v>15</v>
      </c>
      <c r="J544" s="112">
        <f>J543</f>
        <v>8</v>
      </c>
      <c r="K544" s="101" t="s">
        <v>722</v>
      </c>
      <c r="L544" s="112">
        <f>L543</f>
        <v>8</v>
      </c>
      <c r="M544" s="112">
        <f>L543</f>
        <v>8</v>
      </c>
      <c r="N544" s="95">
        <v>4.5</v>
      </c>
      <c r="O544" s="101" t="s">
        <v>722</v>
      </c>
      <c r="P544" s="113">
        <f t="shared" si="4"/>
        <v>2.3199999999999998</v>
      </c>
      <c r="Q544" s="113">
        <f>Q543</f>
        <v>2.9</v>
      </c>
      <c r="R544" s="115" t="s">
        <v>722</v>
      </c>
      <c r="S544" s="116">
        <v>1.2</v>
      </c>
      <c r="T544" s="103" t="s">
        <v>722</v>
      </c>
      <c r="U544" s="124" t="s">
        <v>722</v>
      </c>
      <c r="V544" s="100">
        <v>600</v>
      </c>
      <c r="W544" s="142">
        <v>10</v>
      </c>
    </row>
    <row r="545" spans="2:23" x14ac:dyDescent="0.25">
      <c r="B545" s="185" t="s">
        <v>594</v>
      </c>
      <c r="C545" s="72" t="s">
        <v>613</v>
      </c>
      <c r="D545" s="69" t="s">
        <v>654</v>
      </c>
      <c r="E545" s="73" t="s">
        <v>668</v>
      </c>
      <c r="F545" s="94"/>
      <c r="G545" s="138" t="str">
        <f>CONCATENATE(C545,"_",D545,"_",E545)</f>
        <v>MDF.LA_1,8à12_Plat</v>
      </c>
      <c r="H545" s="75"/>
      <c r="I545" s="95">
        <v>21</v>
      </c>
      <c r="J545" s="95">
        <v>13</v>
      </c>
      <c r="K545" s="95"/>
      <c r="L545" s="95">
        <v>13</v>
      </c>
      <c r="M545" s="101" t="s">
        <v>722</v>
      </c>
      <c r="N545" s="101" t="s">
        <v>722</v>
      </c>
      <c r="O545" s="116" t="s">
        <v>722</v>
      </c>
      <c r="P545" s="113">
        <f t="shared" ref="P545:P560" si="5">0.85*Q545</f>
        <v>3.145</v>
      </c>
      <c r="Q545" s="97">
        <v>3.7</v>
      </c>
      <c r="R545" s="114" t="s">
        <v>722</v>
      </c>
      <c r="S545" s="116" t="s">
        <v>722</v>
      </c>
      <c r="T545" s="103" t="s">
        <v>722</v>
      </c>
      <c r="U545" s="99" t="s">
        <v>722</v>
      </c>
      <c r="V545" s="100">
        <v>650</v>
      </c>
      <c r="W545" s="142">
        <v>11</v>
      </c>
    </row>
    <row r="546" spans="2:23" ht="22.5" x14ac:dyDescent="0.25">
      <c r="B546" s="185"/>
      <c r="C546" s="72"/>
      <c r="D546" s="69"/>
      <c r="E546" s="73" t="s">
        <v>669</v>
      </c>
      <c r="F546" s="94"/>
      <c r="G546" s="138" t="str">
        <f>CONCATENATE(C545,"_",D545,"_",E546)</f>
        <v>MDF.LA_1,8à12_Chant</v>
      </c>
      <c r="H546" s="75"/>
      <c r="I546" s="112">
        <f>I545</f>
        <v>21</v>
      </c>
      <c r="J546" s="112">
        <f>J545</f>
        <v>13</v>
      </c>
      <c r="K546" s="101" t="s">
        <v>722</v>
      </c>
      <c r="L546" s="112">
        <f>L545</f>
        <v>13</v>
      </c>
      <c r="M546" s="112">
        <f>L545</f>
        <v>13</v>
      </c>
      <c r="N546" s="95">
        <v>6.5</v>
      </c>
      <c r="O546" s="101" t="s">
        <v>722</v>
      </c>
      <c r="P546" s="113">
        <f t="shared" si="5"/>
        <v>3.145</v>
      </c>
      <c r="Q546" s="113">
        <f>Q545</f>
        <v>3.7</v>
      </c>
      <c r="R546" s="115" t="s">
        <v>722</v>
      </c>
      <c r="S546" s="116">
        <v>0.8</v>
      </c>
      <c r="T546" s="103" t="s">
        <v>722</v>
      </c>
      <c r="U546" s="124" t="s">
        <v>722</v>
      </c>
      <c r="V546" s="100">
        <v>650</v>
      </c>
      <c r="W546" s="142">
        <v>11</v>
      </c>
    </row>
    <row r="547" spans="2:23" x14ac:dyDescent="0.25">
      <c r="B547" s="185"/>
      <c r="C547" s="72"/>
      <c r="D547" s="69" t="s">
        <v>655</v>
      </c>
      <c r="E547" s="73" t="s">
        <v>668</v>
      </c>
      <c r="F547" s="94"/>
      <c r="G547" s="138" t="str">
        <f>CONCATENATE(C545,"_",D547,"_",E547)</f>
        <v>MDF.LA_13à19_Plat</v>
      </c>
      <c r="H547" s="75"/>
      <c r="I547" s="95">
        <v>21</v>
      </c>
      <c r="J547" s="95">
        <v>12.5</v>
      </c>
      <c r="K547" s="95"/>
      <c r="L547" s="95">
        <v>12.5</v>
      </c>
      <c r="M547" s="101" t="s">
        <v>722</v>
      </c>
      <c r="N547" s="101" t="s">
        <v>722</v>
      </c>
      <c r="O547" s="116" t="s">
        <v>722</v>
      </c>
      <c r="P547" s="113">
        <f t="shared" si="5"/>
        <v>2.5499999999999998</v>
      </c>
      <c r="Q547" s="97">
        <v>3</v>
      </c>
      <c r="R547" s="114" t="s">
        <v>722</v>
      </c>
      <c r="S547" s="116" t="s">
        <v>722</v>
      </c>
      <c r="T547" s="103" t="s">
        <v>722</v>
      </c>
      <c r="U547" s="99" t="s">
        <v>722</v>
      </c>
      <c r="V547" s="100">
        <v>600</v>
      </c>
      <c r="W547" s="142">
        <v>11</v>
      </c>
    </row>
    <row r="548" spans="2:23" ht="22.5" x14ac:dyDescent="0.25">
      <c r="B548" s="185"/>
      <c r="C548" s="72"/>
      <c r="D548" s="69"/>
      <c r="E548" s="73" t="s">
        <v>669</v>
      </c>
      <c r="F548" s="94"/>
      <c r="G548" s="138" t="str">
        <f>CONCATENATE(C545,"_",D547,"_",E548)</f>
        <v>MDF.LA_13à19_Chant</v>
      </c>
      <c r="H548" s="75"/>
      <c r="I548" s="112">
        <f>I547</f>
        <v>21</v>
      </c>
      <c r="J548" s="112">
        <f>J547</f>
        <v>12.5</v>
      </c>
      <c r="K548" s="101" t="s">
        <v>722</v>
      </c>
      <c r="L548" s="112">
        <f>L547</f>
        <v>12.5</v>
      </c>
      <c r="M548" s="112">
        <f>L547</f>
        <v>12.5</v>
      </c>
      <c r="N548" s="95">
        <v>6.5</v>
      </c>
      <c r="O548" s="101" t="s">
        <v>722</v>
      </c>
      <c r="P548" s="113">
        <f t="shared" si="5"/>
        <v>2.5499999999999998</v>
      </c>
      <c r="Q548" s="113">
        <f>Q547</f>
        <v>3</v>
      </c>
      <c r="R548" s="115" t="s">
        <v>722</v>
      </c>
      <c r="S548" s="116">
        <v>0.8</v>
      </c>
      <c r="T548" s="103" t="s">
        <v>722</v>
      </c>
      <c r="U548" s="124" t="s">
        <v>722</v>
      </c>
      <c r="V548" s="100">
        <v>600</v>
      </c>
      <c r="W548" s="142">
        <v>11</v>
      </c>
    </row>
    <row r="549" spans="2:23" x14ac:dyDescent="0.25">
      <c r="B549" s="185"/>
      <c r="C549" s="72"/>
      <c r="D549" s="69" t="s">
        <v>656</v>
      </c>
      <c r="E549" s="73" t="s">
        <v>668</v>
      </c>
      <c r="F549" s="94"/>
      <c r="G549" s="138" t="str">
        <f>CONCATENATE(C545,"_",D549,"_",E549)</f>
        <v>MDF.LA_20à30_Plat</v>
      </c>
      <c r="H549" s="75"/>
      <c r="I549" s="95">
        <v>21</v>
      </c>
      <c r="J549" s="95">
        <v>12</v>
      </c>
      <c r="K549" s="95"/>
      <c r="L549" s="95">
        <v>12</v>
      </c>
      <c r="M549" s="101" t="s">
        <v>722</v>
      </c>
      <c r="N549" s="101" t="s">
        <v>722</v>
      </c>
      <c r="O549" s="116" t="s">
        <v>722</v>
      </c>
      <c r="P549" s="113">
        <f t="shared" si="5"/>
        <v>2.4649999999999999</v>
      </c>
      <c r="Q549" s="97">
        <v>2.9</v>
      </c>
      <c r="R549" s="114" t="s">
        <v>722</v>
      </c>
      <c r="S549" s="116" t="s">
        <v>722</v>
      </c>
      <c r="T549" s="103" t="s">
        <v>722</v>
      </c>
      <c r="U549" s="99" t="s">
        <v>722</v>
      </c>
      <c r="V549" s="100">
        <v>550</v>
      </c>
      <c r="W549" s="142">
        <v>11</v>
      </c>
    </row>
    <row r="550" spans="2:23" ht="22.5" x14ac:dyDescent="0.25">
      <c r="B550" s="185"/>
      <c r="C550" s="72"/>
      <c r="D550" s="69"/>
      <c r="E550" s="73" t="s">
        <v>669</v>
      </c>
      <c r="F550" s="94"/>
      <c r="G550" s="138" t="str">
        <f>CONCATENATE(C545,"_",D549,"_",E550)</f>
        <v>MDF.LA_20à30_Chant</v>
      </c>
      <c r="H550" s="75"/>
      <c r="I550" s="112">
        <f>I549</f>
        <v>21</v>
      </c>
      <c r="J550" s="112">
        <f>J549</f>
        <v>12</v>
      </c>
      <c r="K550" s="101" t="s">
        <v>722</v>
      </c>
      <c r="L550" s="112">
        <f>L549</f>
        <v>12</v>
      </c>
      <c r="M550" s="112">
        <f>L549</f>
        <v>12</v>
      </c>
      <c r="N550" s="95">
        <v>6.5</v>
      </c>
      <c r="O550" s="101" t="s">
        <v>722</v>
      </c>
      <c r="P550" s="113">
        <f t="shared" si="5"/>
        <v>2.4649999999999999</v>
      </c>
      <c r="Q550" s="113">
        <f>Q549</f>
        <v>2.9</v>
      </c>
      <c r="R550" s="115" t="s">
        <v>722</v>
      </c>
      <c r="S550" s="116">
        <v>0.8</v>
      </c>
      <c r="T550" s="103" t="s">
        <v>722</v>
      </c>
      <c r="U550" s="124" t="s">
        <v>722</v>
      </c>
      <c r="V550" s="100">
        <v>550</v>
      </c>
      <c r="W550" s="142">
        <v>11</v>
      </c>
    </row>
    <row r="551" spans="2:23" x14ac:dyDescent="0.25">
      <c r="B551" s="185"/>
      <c r="C551" s="72"/>
      <c r="D551" s="69" t="s">
        <v>657</v>
      </c>
      <c r="E551" s="73" t="s">
        <v>668</v>
      </c>
      <c r="F551" s="94"/>
      <c r="G551" s="138" t="str">
        <f>CONCATENATE(C545,"_",D551,"_",E551)</f>
        <v>MDF.LA_&gt;30_Plat</v>
      </c>
      <c r="H551" s="75"/>
      <c r="I551" s="95">
        <v>19</v>
      </c>
      <c r="J551" s="95">
        <v>10</v>
      </c>
      <c r="K551" s="95"/>
      <c r="L551" s="95">
        <v>10</v>
      </c>
      <c r="M551" s="101" t="s">
        <v>722</v>
      </c>
      <c r="N551" s="101" t="s">
        <v>722</v>
      </c>
      <c r="O551" s="116" t="s">
        <v>722</v>
      </c>
      <c r="P551" s="113">
        <f t="shared" si="5"/>
        <v>2.2949999999999999</v>
      </c>
      <c r="Q551" s="97">
        <v>2.7</v>
      </c>
      <c r="R551" s="114" t="s">
        <v>722</v>
      </c>
      <c r="S551" s="116" t="s">
        <v>722</v>
      </c>
      <c r="T551" s="103" t="s">
        <v>722</v>
      </c>
      <c r="U551" s="99" t="s">
        <v>722</v>
      </c>
      <c r="V551" s="100">
        <v>500</v>
      </c>
      <c r="W551" s="142">
        <v>11</v>
      </c>
    </row>
    <row r="552" spans="2:23" x14ac:dyDescent="0.25">
      <c r="B552" s="185"/>
      <c r="C552" s="72"/>
      <c r="D552" s="69"/>
      <c r="E552" s="73" t="s">
        <v>669</v>
      </c>
      <c r="F552" s="94"/>
      <c r="G552" s="138" t="str">
        <f>CONCATENATE(C545,"_",D551,"_",E552)</f>
        <v>MDF.LA_&gt;30_Chant</v>
      </c>
      <c r="H552" s="75"/>
      <c r="I552" s="112">
        <f>I551</f>
        <v>19</v>
      </c>
      <c r="J552" s="112">
        <f>J551</f>
        <v>10</v>
      </c>
      <c r="K552" s="101" t="s">
        <v>722</v>
      </c>
      <c r="L552" s="112">
        <f>L551</f>
        <v>10</v>
      </c>
      <c r="M552" s="112">
        <f>L551</f>
        <v>10</v>
      </c>
      <c r="N552" s="95">
        <v>5</v>
      </c>
      <c r="O552" s="101" t="s">
        <v>722</v>
      </c>
      <c r="P552" s="113">
        <f t="shared" si="5"/>
        <v>2.2949999999999999</v>
      </c>
      <c r="Q552" s="113">
        <v>2.7</v>
      </c>
      <c r="R552" s="115" t="s">
        <v>722</v>
      </c>
      <c r="S552" s="116">
        <v>0.6</v>
      </c>
      <c r="T552" s="103" t="s">
        <v>722</v>
      </c>
      <c r="U552" s="124" t="s">
        <v>722</v>
      </c>
      <c r="V552" s="100">
        <v>500</v>
      </c>
      <c r="W552" s="142">
        <v>11</v>
      </c>
    </row>
    <row r="553" spans="2:23" ht="22.5" x14ac:dyDescent="0.25">
      <c r="B553" s="185"/>
      <c r="C553" s="72" t="s">
        <v>614</v>
      </c>
      <c r="D553" s="69" t="s">
        <v>654</v>
      </c>
      <c r="E553" s="73" t="s">
        <v>668</v>
      </c>
      <c r="F553" s="94"/>
      <c r="G553" s="138" t="str">
        <f>CONCATENATE(C553,"_",D553,"_",E553)</f>
        <v>MDF.HLS_1,8à12_Plat</v>
      </c>
      <c r="H553" s="75"/>
      <c r="I553" s="95">
        <v>22</v>
      </c>
      <c r="J553" s="95">
        <v>18</v>
      </c>
      <c r="K553" s="95"/>
      <c r="L553" s="95">
        <v>18</v>
      </c>
      <c r="M553" s="101" t="s">
        <v>722</v>
      </c>
      <c r="N553" s="101" t="s">
        <v>722</v>
      </c>
      <c r="O553" s="116" t="s">
        <v>722</v>
      </c>
      <c r="P553" s="113">
        <f t="shared" si="5"/>
        <v>3.145</v>
      </c>
      <c r="Q553" s="97">
        <v>3.7</v>
      </c>
      <c r="R553" s="114" t="s">
        <v>722</v>
      </c>
      <c r="S553" s="116" t="s">
        <v>722</v>
      </c>
      <c r="T553" s="103" t="s">
        <v>722</v>
      </c>
      <c r="U553" s="99" t="s">
        <v>722</v>
      </c>
      <c r="V553" s="100">
        <v>650</v>
      </c>
      <c r="W553" s="142">
        <v>11</v>
      </c>
    </row>
    <row r="554" spans="2:23" ht="22.5" x14ac:dyDescent="0.25">
      <c r="B554" s="185"/>
      <c r="C554" s="72"/>
      <c r="D554" s="69"/>
      <c r="E554" s="73" t="s">
        <v>669</v>
      </c>
      <c r="F554" s="94"/>
      <c r="G554" s="138" t="str">
        <f>CONCATENATE(C553,"_",D553,"_",E554)</f>
        <v>MDF.HLS_1,8à12_Chant</v>
      </c>
      <c r="H554" s="75"/>
      <c r="I554" s="112">
        <f>I553</f>
        <v>22</v>
      </c>
      <c r="J554" s="112">
        <f>J553</f>
        <v>18</v>
      </c>
      <c r="K554" s="101" t="s">
        <v>722</v>
      </c>
      <c r="L554" s="112">
        <f>L553</f>
        <v>18</v>
      </c>
      <c r="M554" s="112">
        <f>L553</f>
        <v>18</v>
      </c>
      <c r="N554" s="95">
        <v>8.5</v>
      </c>
      <c r="O554" s="101" t="s">
        <v>722</v>
      </c>
      <c r="P554" s="113">
        <f t="shared" si="5"/>
        <v>3.145</v>
      </c>
      <c r="Q554" s="113">
        <f>Q553</f>
        <v>3.7</v>
      </c>
      <c r="R554" s="115" t="s">
        <v>722</v>
      </c>
      <c r="S554" s="116">
        <v>1</v>
      </c>
      <c r="T554" s="103" t="s">
        <v>722</v>
      </c>
      <c r="U554" s="124" t="s">
        <v>722</v>
      </c>
      <c r="V554" s="100">
        <v>650</v>
      </c>
      <c r="W554" s="142">
        <v>11</v>
      </c>
    </row>
    <row r="555" spans="2:23" ht="22.5" x14ac:dyDescent="0.25">
      <c r="B555" s="185"/>
      <c r="C555" s="72"/>
      <c r="D555" s="69" t="s">
        <v>655</v>
      </c>
      <c r="E555" s="73" t="s">
        <v>668</v>
      </c>
      <c r="F555" s="94"/>
      <c r="G555" s="138" t="str">
        <f>CONCATENATE(C553,"_",D555,"_",E555)</f>
        <v>MDF.HLS_13à19_Plat</v>
      </c>
      <c r="H555" s="75"/>
      <c r="I555" s="95">
        <v>22</v>
      </c>
      <c r="J555" s="95">
        <v>16.5</v>
      </c>
      <c r="K555" s="95"/>
      <c r="L555" s="95">
        <v>16.5</v>
      </c>
      <c r="M555" s="101" t="s">
        <v>722</v>
      </c>
      <c r="N555" s="101" t="s">
        <v>722</v>
      </c>
      <c r="O555" s="116" t="s">
        <v>722</v>
      </c>
      <c r="P555" s="113">
        <f t="shared" si="5"/>
        <v>2.72</v>
      </c>
      <c r="Q555" s="97">
        <v>3.2</v>
      </c>
      <c r="R555" s="114" t="s">
        <v>722</v>
      </c>
      <c r="S555" s="116" t="s">
        <v>722</v>
      </c>
      <c r="T555" s="103" t="s">
        <v>722</v>
      </c>
      <c r="U555" s="99" t="s">
        <v>722</v>
      </c>
      <c r="V555" s="100">
        <v>600</v>
      </c>
      <c r="W555" s="142">
        <v>11</v>
      </c>
    </row>
    <row r="556" spans="2:23" ht="22.5" x14ac:dyDescent="0.25">
      <c r="B556" s="185"/>
      <c r="C556" s="72"/>
      <c r="D556" s="69"/>
      <c r="E556" s="73" t="s">
        <v>669</v>
      </c>
      <c r="F556" s="94"/>
      <c r="G556" s="138" t="str">
        <f>CONCATENATE(C553,"_",D555,"_",E556)</f>
        <v>MDF.HLS_13à19_Chant</v>
      </c>
      <c r="H556" s="75"/>
      <c r="I556" s="112">
        <f>I555</f>
        <v>22</v>
      </c>
      <c r="J556" s="112">
        <f>J555</f>
        <v>16.5</v>
      </c>
      <c r="K556" s="101" t="s">
        <v>722</v>
      </c>
      <c r="L556" s="112">
        <f>L555</f>
        <v>16.5</v>
      </c>
      <c r="M556" s="112">
        <f>L555</f>
        <v>16.5</v>
      </c>
      <c r="N556" s="95">
        <v>8.5</v>
      </c>
      <c r="O556" s="101" t="s">
        <v>722</v>
      </c>
      <c r="P556" s="113">
        <f t="shared" si="5"/>
        <v>2.72</v>
      </c>
      <c r="Q556" s="113">
        <f>Q555</f>
        <v>3.2</v>
      </c>
      <c r="R556" s="115" t="s">
        <v>722</v>
      </c>
      <c r="S556" s="116">
        <v>1</v>
      </c>
      <c r="T556" s="103" t="s">
        <v>722</v>
      </c>
      <c r="U556" s="124" t="s">
        <v>722</v>
      </c>
      <c r="V556" s="100">
        <v>600</v>
      </c>
      <c r="W556" s="142">
        <v>11</v>
      </c>
    </row>
    <row r="557" spans="2:23" ht="22.5" x14ac:dyDescent="0.25">
      <c r="B557" s="185"/>
      <c r="C557" s="72"/>
      <c r="D557" s="69" t="s">
        <v>656</v>
      </c>
      <c r="E557" s="73" t="s">
        <v>668</v>
      </c>
      <c r="F557" s="94"/>
      <c r="G557" s="138" t="str">
        <f>CONCATENATE(C553,"_",D557,"_",E557)</f>
        <v>MDF.HLS_20à30_Plat</v>
      </c>
      <c r="H557" s="75"/>
      <c r="I557" s="95">
        <v>21</v>
      </c>
      <c r="J557" s="95">
        <v>16</v>
      </c>
      <c r="K557" s="95"/>
      <c r="L557" s="95">
        <v>16</v>
      </c>
      <c r="M557" s="101" t="s">
        <v>722</v>
      </c>
      <c r="N557" s="101" t="s">
        <v>722</v>
      </c>
      <c r="O557" s="116" t="s">
        <v>722</v>
      </c>
      <c r="P557" s="113">
        <f t="shared" si="5"/>
        <v>2.6349999999999998</v>
      </c>
      <c r="Q557" s="97">
        <v>3.1</v>
      </c>
      <c r="R557" s="114" t="s">
        <v>722</v>
      </c>
      <c r="S557" s="116" t="s">
        <v>722</v>
      </c>
      <c r="T557" s="103" t="s">
        <v>722</v>
      </c>
      <c r="U557" s="99" t="s">
        <v>722</v>
      </c>
      <c r="V557" s="100">
        <v>550</v>
      </c>
      <c r="W557" s="142">
        <v>11</v>
      </c>
    </row>
    <row r="558" spans="2:23" ht="22.5" x14ac:dyDescent="0.25">
      <c r="B558" s="185"/>
      <c r="C558" s="72"/>
      <c r="D558" s="69"/>
      <c r="E558" s="73" t="s">
        <v>669</v>
      </c>
      <c r="F558" s="94"/>
      <c r="G558" s="138" t="str">
        <f>CONCATENATE(C553,"_",D557,"_",E558)</f>
        <v>MDF.HLS_20à30_Chant</v>
      </c>
      <c r="H558" s="75"/>
      <c r="I558" s="112">
        <f>I557</f>
        <v>21</v>
      </c>
      <c r="J558" s="112">
        <f>J557</f>
        <v>16</v>
      </c>
      <c r="K558" s="101" t="s">
        <v>722</v>
      </c>
      <c r="L558" s="112">
        <f>L557</f>
        <v>16</v>
      </c>
      <c r="M558" s="112">
        <f>L557</f>
        <v>16</v>
      </c>
      <c r="N558" s="95">
        <v>8.5</v>
      </c>
      <c r="O558" s="101" t="s">
        <v>722</v>
      </c>
      <c r="P558" s="113">
        <f t="shared" si="5"/>
        <v>2.6349999999999998</v>
      </c>
      <c r="Q558" s="113">
        <f>Q557</f>
        <v>3.1</v>
      </c>
      <c r="R558" s="115" t="s">
        <v>722</v>
      </c>
      <c r="S558" s="116">
        <v>1</v>
      </c>
      <c r="T558" s="103" t="s">
        <v>722</v>
      </c>
      <c r="U558" s="124" t="s">
        <v>722</v>
      </c>
      <c r="V558" s="100">
        <v>550</v>
      </c>
      <c r="W558" s="142">
        <v>11</v>
      </c>
    </row>
    <row r="559" spans="2:23" x14ac:dyDescent="0.25">
      <c r="B559" s="185"/>
      <c r="C559" s="72"/>
      <c r="D559" s="69" t="s">
        <v>657</v>
      </c>
      <c r="E559" s="73" t="s">
        <v>668</v>
      </c>
      <c r="F559" s="94"/>
      <c r="G559" s="138" t="str">
        <f>CONCATENATE(C553,"_",D559,"_",E559)</f>
        <v>MDF.HLS_&gt;30_Plat</v>
      </c>
      <c r="H559" s="75"/>
      <c r="I559" s="95">
        <v>18</v>
      </c>
      <c r="J559" s="95">
        <v>13</v>
      </c>
      <c r="K559" s="95"/>
      <c r="L559" s="95">
        <v>13</v>
      </c>
      <c r="M559" s="101" t="s">
        <v>722</v>
      </c>
      <c r="N559" s="101" t="s">
        <v>722</v>
      </c>
      <c r="O559" s="116" t="s">
        <v>722</v>
      </c>
      <c r="P559" s="113">
        <f t="shared" si="5"/>
        <v>2.38</v>
      </c>
      <c r="Q559" s="97">
        <v>2.8</v>
      </c>
      <c r="R559" s="114" t="s">
        <v>722</v>
      </c>
      <c r="S559" s="116" t="s">
        <v>722</v>
      </c>
      <c r="T559" s="103" t="s">
        <v>722</v>
      </c>
      <c r="U559" s="99" t="s">
        <v>722</v>
      </c>
      <c r="V559" s="100">
        <v>500</v>
      </c>
      <c r="W559" s="142">
        <v>11</v>
      </c>
    </row>
    <row r="560" spans="2:23" ht="22.5" x14ac:dyDescent="0.25">
      <c r="B560" s="185"/>
      <c r="C560" s="72"/>
      <c r="D560" s="69"/>
      <c r="E560" s="73" t="s">
        <v>669</v>
      </c>
      <c r="F560" s="94"/>
      <c r="G560" s="138" t="str">
        <f>CONCATENATE(C553,"_",D559,"_",E560)</f>
        <v>MDF.HLS_&gt;30_Chant</v>
      </c>
      <c r="H560" s="75"/>
      <c r="I560" s="112">
        <f>I559</f>
        <v>18</v>
      </c>
      <c r="J560" s="112">
        <f>J559</f>
        <v>13</v>
      </c>
      <c r="K560" s="101" t="s">
        <v>722</v>
      </c>
      <c r="L560" s="112">
        <f>L559</f>
        <v>13</v>
      </c>
      <c r="M560" s="112">
        <f>L559</f>
        <v>13</v>
      </c>
      <c r="N560" s="95">
        <v>7</v>
      </c>
      <c r="O560" s="101" t="s">
        <v>722</v>
      </c>
      <c r="P560" s="113">
        <f t="shared" si="5"/>
        <v>2.38</v>
      </c>
      <c r="Q560" s="113">
        <f>Q559</f>
        <v>2.8</v>
      </c>
      <c r="R560" s="115" t="s">
        <v>722</v>
      </c>
      <c r="S560" s="116">
        <v>0.8</v>
      </c>
      <c r="T560" s="103" t="s">
        <v>722</v>
      </c>
      <c r="U560" s="124" t="s">
        <v>722</v>
      </c>
      <c r="V560" s="100">
        <v>500</v>
      </c>
      <c r="W560" s="142">
        <v>11</v>
      </c>
    </row>
    <row r="561" spans="2:23" ht="22.5" x14ac:dyDescent="0.25">
      <c r="B561" s="185" t="s">
        <v>595</v>
      </c>
      <c r="C561" s="135"/>
      <c r="D561" s="69"/>
      <c r="E561" s="73" t="s">
        <v>668</v>
      </c>
      <c r="F561" s="94" t="s">
        <v>672</v>
      </c>
      <c r="G561" s="138" t="s">
        <v>714</v>
      </c>
      <c r="H561" s="75"/>
      <c r="I561" s="95">
        <v>17.600000000000001</v>
      </c>
      <c r="J561" s="101">
        <v>11.5</v>
      </c>
      <c r="K561" s="101">
        <v>11</v>
      </c>
      <c r="L561" s="101">
        <v>16</v>
      </c>
      <c r="M561" s="95">
        <v>14</v>
      </c>
      <c r="N561" s="95">
        <v>1.6</v>
      </c>
      <c r="O561" s="101" t="s">
        <v>722</v>
      </c>
      <c r="P561" s="100" t="s">
        <v>722</v>
      </c>
      <c r="Q561" s="99">
        <v>5</v>
      </c>
      <c r="R561" s="136">
        <v>3.5</v>
      </c>
      <c r="S561" s="100" t="s">
        <v>722</v>
      </c>
      <c r="T561" s="100" t="s">
        <v>722</v>
      </c>
      <c r="U561" s="100">
        <v>620</v>
      </c>
      <c r="V561" s="100" t="s">
        <v>722</v>
      </c>
      <c r="W561" s="145">
        <v>6</v>
      </c>
    </row>
    <row r="562" spans="2:23" ht="22.5" x14ac:dyDescent="0.25">
      <c r="B562" s="185"/>
      <c r="C562" s="135"/>
      <c r="D562" s="69"/>
      <c r="E562" s="73"/>
      <c r="F562" s="94" t="s">
        <v>673</v>
      </c>
      <c r="G562" s="138" t="s">
        <v>715</v>
      </c>
      <c r="H562" s="75"/>
      <c r="I562" s="95">
        <v>15.3</v>
      </c>
      <c r="J562" s="95">
        <v>11</v>
      </c>
      <c r="K562" s="95">
        <v>11.5</v>
      </c>
      <c r="L562" s="95">
        <v>14</v>
      </c>
      <c r="M562" s="95">
        <v>16</v>
      </c>
      <c r="N562" s="95">
        <v>1.6</v>
      </c>
      <c r="O562" s="101" t="s">
        <v>722</v>
      </c>
      <c r="P562" s="100" t="s">
        <v>722</v>
      </c>
      <c r="Q562" s="95">
        <v>3.5</v>
      </c>
      <c r="R562" s="137">
        <v>5</v>
      </c>
      <c r="S562" s="100" t="s">
        <v>722</v>
      </c>
      <c r="T562" s="100" t="s">
        <v>722</v>
      </c>
      <c r="U562" s="99">
        <v>620</v>
      </c>
      <c r="V562" s="100" t="s">
        <v>722</v>
      </c>
      <c r="W562" s="145">
        <v>6</v>
      </c>
    </row>
    <row r="563" spans="2:23" ht="22.5" x14ac:dyDescent="0.25">
      <c r="B563" s="185"/>
      <c r="C563" s="135"/>
      <c r="D563" s="69"/>
      <c r="E563" s="73" t="s">
        <v>669</v>
      </c>
      <c r="F563" s="94"/>
      <c r="G563" s="138" t="s">
        <v>716</v>
      </c>
      <c r="H563" s="75"/>
      <c r="I563" s="95">
        <v>10.9</v>
      </c>
      <c r="J563" s="95">
        <v>11.5</v>
      </c>
      <c r="K563" s="95">
        <v>11</v>
      </c>
      <c r="L563" s="95">
        <v>16</v>
      </c>
      <c r="M563" s="95">
        <v>14</v>
      </c>
      <c r="N563" s="95">
        <v>7</v>
      </c>
      <c r="O563" s="101" t="s">
        <v>722</v>
      </c>
      <c r="P563" s="100" t="s">
        <v>722</v>
      </c>
      <c r="Q563" s="99">
        <v>5</v>
      </c>
      <c r="R563" s="136">
        <v>4.5</v>
      </c>
      <c r="S563" s="100" t="s">
        <v>722</v>
      </c>
      <c r="T563" s="100" t="s">
        <v>722</v>
      </c>
      <c r="U563" s="99">
        <v>620</v>
      </c>
      <c r="V563" s="100" t="s">
        <v>722</v>
      </c>
      <c r="W563" s="145">
        <v>6</v>
      </c>
    </row>
    <row r="564" spans="2:23" ht="22.5" x14ac:dyDescent="0.25">
      <c r="B564" s="185"/>
      <c r="C564" s="135"/>
      <c r="D564" s="69"/>
      <c r="E564" s="73" t="s">
        <v>669</v>
      </c>
      <c r="F564" s="94"/>
      <c r="G564" s="138" t="s">
        <v>717</v>
      </c>
      <c r="H564" s="75"/>
      <c r="I564" s="95">
        <v>8</v>
      </c>
      <c r="J564" s="95">
        <v>11</v>
      </c>
      <c r="K564" s="95">
        <v>11.5</v>
      </c>
      <c r="L564" s="95">
        <v>14</v>
      </c>
      <c r="M564" s="95">
        <v>16</v>
      </c>
      <c r="N564" s="95">
        <v>7</v>
      </c>
      <c r="O564" s="101" t="s">
        <v>722</v>
      </c>
      <c r="P564" s="100" t="s">
        <v>722</v>
      </c>
      <c r="Q564" s="95">
        <v>4.5</v>
      </c>
      <c r="R564" s="136">
        <v>5</v>
      </c>
      <c r="S564" s="100" t="s">
        <v>722</v>
      </c>
      <c r="T564" s="100" t="s">
        <v>722</v>
      </c>
      <c r="U564" s="99">
        <v>620</v>
      </c>
      <c r="V564" s="100" t="s">
        <v>722</v>
      </c>
      <c r="W564" s="145">
        <v>6</v>
      </c>
    </row>
    <row r="565" spans="2:23" ht="25.5" x14ac:dyDescent="0.25">
      <c r="B565" s="71" t="s">
        <v>596</v>
      </c>
      <c r="C565" s="72"/>
      <c r="D565" s="69" t="s">
        <v>658</v>
      </c>
      <c r="E565" s="73"/>
      <c r="F565" s="94"/>
      <c r="G565" s="138" t="str">
        <f t="shared" ref="G565:G573" si="6">CONCATENATE($B$565,D565)</f>
        <v>C24-CLTSCHNEIDER</v>
      </c>
      <c r="H565" s="75"/>
      <c r="I565" s="95">
        <v>24</v>
      </c>
      <c r="J565" s="95">
        <v>14</v>
      </c>
      <c r="K565" s="95">
        <v>0.4</v>
      </c>
      <c r="L565" s="95">
        <v>21</v>
      </c>
      <c r="M565" s="95">
        <v>3</v>
      </c>
      <c r="N565" s="95">
        <v>3.5</v>
      </c>
      <c r="O565" s="95">
        <v>1.1000000000000001</v>
      </c>
      <c r="P565" s="99">
        <v>7.4</v>
      </c>
      <c r="Q565" s="99">
        <v>11</v>
      </c>
      <c r="R565" s="96">
        <v>0.37</v>
      </c>
      <c r="S565" s="96">
        <v>0.69</v>
      </c>
      <c r="T565" s="96">
        <v>0.05</v>
      </c>
      <c r="U565" s="99">
        <v>385</v>
      </c>
      <c r="V565" s="99">
        <v>420</v>
      </c>
      <c r="W565" s="145">
        <v>1</v>
      </c>
    </row>
    <row r="566" spans="2:23" ht="38.25" x14ac:dyDescent="0.25">
      <c r="B566" s="71"/>
      <c r="C566" s="72"/>
      <c r="D566" s="69" t="s">
        <v>659</v>
      </c>
      <c r="E566" s="73"/>
      <c r="F566" s="94"/>
      <c r="G566" s="138" t="str">
        <f t="shared" si="6"/>
        <v>C24-CLTCross Timber Systems</v>
      </c>
      <c r="H566" s="75"/>
      <c r="I566" s="96">
        <v>24</v>
      </c>
      <c r="J566" s="96">
        <v>14</v>
      </c>
      <c r="K566" s="96">
        <v>0.12</v>
      </c>
      <c r="L566" s="96">
        <v>21</v>
      </c>
      <c r="M566" s="96">
        <v>2.5</v>
      </c>
      <c r="N566" s="96">
        <v>4</v>
      </c>
      <c r="O566" s="96">
        <v>1.3</v>
      </c>
      <c r="P566" s="96">
        <v>9.5830000000000002</v>
      </c>
      <c r="Q566" s="96">
        <v>11.5</v>
      </c>
      <c r="R566" s="96">
        <v>0.37</v>
      </c>
      <c r="S566" s="96">
        <v>0.69</v>
      </c>
      <c r="T566" s="96">
        <v>0.05</v>
      </c>
      <c r="U566" s="96">
        <v>380</v>
      </c>
      <c r="V566" s="96">
        <v>500</v>
      </c>
      <c r="W566" s="145">
        <v>1</v>
      </c>
    </row>
    <row r="567" spans="2:23" x14ac:dyDescent="0.25">
      <c r="B567" s="71"/>
      <c r="C567" s="72"/>
      <c r="D567" s="70" t="s">
        <v>660</v>
      </c>
      <c r="E567" s="73"/>
      <c r="F567" s="94"/>
      <c r="G567" s="138" t="str">
        <f t="shared" si="6"/>
        <v>C24-CLTDERIX</v>
      </c>
      <c r="H567" s="75"/>
      <c r="I567" s="96">
        <v>24</v>
      </c>
      <c r="J567" s="96">
        <v>14</v>
      </c>
      <c r="K567" s="96">
        <v>0.5</v>
      </c>
      <c r="L567" s="96">
        <v>21</v>
      </c>
      <c r="M567" s="96">
        <v>2.5</v>
      </c>
      <c r="N567" s="96">
        <v>2.5</v>
      </c>
      <c r="O567" s="96">
        <v>1.1000000000000001</v>
      </c>
      <c r="P567" s="96">
        <v>9.1660000000000004</v>
      </c>
      <c r="Q567" s="96">
        <v>11</v>
      </c>
      <c r="R567" s="96">
        <v>0.37</v>
      </c>
      <c r="S567" s="96">
        <v>0.69</v>
      </c>
      <c r="T567" s="96">
        <v>0.05</v>
      </c>
      <c r="U567" s="96">
        <v>350</v>
      </c>
      <c r="V567" s="96">
        <v>450</v>
      </c>
      <c r="W567" s="145">
        <v>1</v>
      </c>
    </row>
    <row r="568" spans="2:23" x14ac:dyDescent="0.25">
      <c r="B568" s="71"/>
      <c r="C568" s="72"/>
      <c r="D568" s="70" t="s">
        <v>661</v>
      </c>
      <c r="E568" s="73"/>
      <c r="F568" s="94"/>
      <c r="G568" s="138" t="str">
        <f t="shared" si="6"/>
        <v>C24-CLTDECKER</v>
      </c>
      <c r="H568" s="75"/>
      <c r="I568" s="96">
        <v>24</v>
      </c>
      <c r="J568" s="96">
        <v>14</v>
      </c>
      <c r="K568" s="96">
        <v>0.4</v>
      </c>
      <c r="L568" s="96">
        <v>21</v>
      </c>
      <c r="M568" s="96">
        <v>2.5</v>
      </c>
      <c r="N568" s="96">
        <v>2.7</v>
      </c>
      <c r="O568" s="96">
        <v>0.9</v>
      </c>
      <c r="P568" s="96">
        <v>7.3330000000000002</v>
      </c>
      <c r="Q568" s="96">
        <v>11</v>
      </c>
      <c r="R568" s="96">
        <v>0.37</v>
      </c>
      <c r="S568" s="96">
        <v>0.69</v>
      </c>
      <c r="T568" s="96">
        <v>0.05</v>
      </c>
      <c r="U568" s="96">
        <v>350</v>
      </c>
      <c r="V568" s="96">
        <v>470</v>
      </c>
      <c r="W568" s="145">
        <v>1</v>
      </c>
    </row>
    <row r="569" spans="2:23" ht="25.5" x14ac:dyDescent="0.25">
      <c r="B569" s="71"/>
      <c r="C569" s="72"/>
      <c r="D569" s="69" t="s">
        <v>662</v>
      </c>
      <c r="E569" s="73"/>
      <c r="F569" s="94"/>
      <c r="G569" s="138" t="str">
        <f t="shared" si="6"/>
        <v>C24-CLTHASSLACHER</v>
      </c>
      <c r="H569" s="75"/>
      <c r="I569" s="96">
        <v>26.4</v>
      </c>
      <c r="J569" s="96">
        <v>14</v>
      </c>
      <c r="K569" s="96">
        <v>0.12</v>
      </c>
      <c r="L569" s="96">
        <v>21</v>
      </c>
      <c r="M569" s="96">
        <v>3</v>
      </c>
      <c r="N569" s="96">
        <v>4</v>
      </c>
      <c r="O569" s="96">
        <v>1.5</v>
      </c>
      <c r="P569" s="96">
        <v>9.8330000000000002</v>
      </c>
      <c r="Q569" s="96">
        <v>11.8</v>
      </c>
      <c r="R569" s="96">
        <v>0.37</v>
      </c>
      <c r="S569" s="96">
        <v>0.69</v>
      </c>
      <c r="T569" s="96">
        <v>0.08</v>
      </c>
      <c r="U569" s="96">
        <v>385</v>
      </c>
      <c r="V569" s="96">
        <v>420</v>
      </c>
      <c r="W569" s="145">
        <v>1</v>
      </c>
    </row>
    <row r="570" spans="2:23" x14ac:dyDescent="0.25">
      <c r="B570" s="71"/>
      <c r="C570" s="72"/>
      <c r="D570" s="70" t="s">
        <v>663</v>
      </c>
      <c r="E570" s="73"/>
      <c r="F570" s="94"/>
      <c r="G570" s="138" t="str">
        <f t="shared" si="6"/>
        <v>C24-CLTKLH</v>
      </c>
      <c r="H570" s="75"/>
      <c r="I570" s="96">
        <v>24</v>
      </c>
      <c r="J570" s="96">
        <v>16.5</v>
      </c>
      <c r="K570" s="96">
        <v>0.12</v>
      </c>
      <c r="L570" s="96">
        <v>24</v>
      </c>
      <c r="M570" s="96">
        <v>2.7</v>
      </c>
      <c r="N570" s="96">
        <v>2.7</v>
      </c>
      <c r="O570" s="96">
        <v>1.2</v>
      </c>
      <c r="P570" s="96">
        <v>10</v>
      </c>
      <c r="Q570" s="96">
        <v>12</v>
      </c>
      <c r="R570" s="96">
        <v>0</v>
      </c>
      <c r="S570" s="96">
        <v>0.69</v>
      </c>
      <c r="T570" s="96">
        <v>0.05</v>
      </c>
      <c r="U570" s="96">
        <v>350</v>
      </c>
      <c r="V570" s="96">
        <v>420</v>
      </c>
      <c r="W570" s="145">
        <v>1</v>
      </c>
    </row>
    <row r="571" spans="2:23" x14ac:dyDescent="0.25">
      <c r="B571" s="71"/>
      <c r="C571" s="72"/>
      <c r="D571" s="70" t="s">
        <v>664</v>
      </c>
      <c r="E571" s="73"/>
      <c r="F571" s="94"/>
      <c r="G571" s="138" t="str">
        <f t="shared" si="6"/>
        <v>C24-CLTHolz</v>
      </c>
      <c r="H571" s="75"/>
      <c r="I571" s="96">
        <v>24</v>
      </c>
      <c r="J571" s="96">
        <v>14</v>
      </c>
      <c r="K571" s="96">
        <v>0.12</v>
      </c>
      <c r="L571" s="96">
        <v>21</v>
      </c>
      <c r="M571" s="96">
        <v>2.5</v>
      </c>
      <c r="N571" s="96">
        <v>2.5</v>
      </c>
      <c r="O571" s="96">
        <v>1.1000000000000001</v>
      </c>
      <c r="P571" s="96">
        <v>9.6669999999999998</v>
      </c>
      <c r="Q571" s="96">
        <v>11.6</v>
      </c>
      <c r="R571" s="96">
        <v>0.37</v>
      </c>
      <c r="S571" s="96">
        <v>0.65</v>
      </c>
      <c r="T571" s="96">
        <v>0.05</v>
      </c>
      <c r="U571" s="96">
        <v>350</v>
      </c>
      <c r="V571" s="96">
        <v>500</v>
      </c>
      <c r="W571" s="145">
        <v>1</v>
      </c>
    </row>
    <row r="572" spans="2:23" ht="25.5" x14ac:dyDescent="0.25">
      <c r="B572" s="71"/>
      <c r="C572" s="72"/>
      <c r="D572" s="69" t="s">
        <v>665</v>
      </c>
      <c r="E572" s="73"/>
      <c r="F572" s="94"/>
      <c r="G572" s="138" t="str">
        <f t="shared" si="6"/>
        <v>C24-CLTPiveteaubois</v>
      </c>
      <c r="H572" s="75"/>
      <c r="I572" s="96">
        <v>18</v>
      </c>
      <c r="J572" s="96">
        <v>10</v>
      </c>
      <c r="K572" s="96">
        <v>0.4</v>
      </c>
      <c r="L572" s="96">
        <v>18</v>
      </c>
      <c r="M572" s="96">
        <v>3</v>
      </c>
      <c r="N572" s="96">
        <v>3.4</v>
      </c>
      <c r="O572" s="96">
        <v>0.7</v>
      </c>
      <c r="P572" s="96">
        <v>7.5</v>
      </c>
      <c r="Q572" s="96">
        <v>9</v>
      </c>
      <c r="R572" s="96">
        <v>0.3</v>
      </c>
      <c r="S572" s="96">
        <v>0.56000000000000005</v>
      </c>
      <c r="T572" s="96">
        <v>0.05</v>
      </c>
      <c r="U572" s="96">
        <v>350</v>
      </c>
      <c r="V572" s="96">
        <v>420</v>
      </c>
      <c r="W572" s="145">
        <v>1</v>
      </c>
    </row>
    <row r="573" spans="2:23" x14ac:dyDescent="0.25">
      <c r="B573" s="71"/>
      <c r="C573" s="72"/>
      <c r="D573" s="70" t="s">
        <v>666</v>
      </c>
      <c r="E573" s="73"/>
      <c r="F573" s="94"/>
      <c r="G573" s="154" t="str">
        <f t="shared" si="6"/>
        <v>C24-CLTEnso</v>
      </c>
      <c r="H573" s="150"/>
      <c r="I573" s="151">
        <v>26.4</v>
      </c>
      <c r="J573" s="151">
        <v>14</v>
      </c>
      <c r="K573" s="151">
        <v>0.12</v>
      </c>
      <c r="L573" s="151">
        <v>21</v>
      </c>
      <c r="M573" s="151">
        <v>2.5</v>
      </c>
      <c r="N573" s="151">
        <v>4</v>
      </c>
      <c r="O573" s="151">
        <v>1.25</v>
      </c>
      <c r="P573" s="151">
        <v>10</v>
      </c>
      <c r="Q573" s="151">
        <v>12</v>
      </c>
      <c r="R573" s="151">
        <v>0.37</v>
      </c>
      <c r="S573" s="151">
        <v>0.69</v>
      </c>
      <c r="T573" s="151">
        <v>0.05</v>
      </c>
      <c r="U573" s="151">
        <v>350</v>
      </c>
      <c r="V573" s="151">
        <v>420</v>
      </c>
      <c r="W573" s="152">
        <v>1</v>
      </c>
    </row>
    <row r="600" spans="2:21" s="9" customFormat="1" x14ac:dyDescent="0.25">
      <c r="B600" s="9" t="s">
        <v>775</v>
      </c>
    </row>
    <row r="601" spans="2:21" ht="20.25" customHeight="1" x14ac:dyDescent="0.25">
      <c r="E601" s="190" t="s">
        <v>792</v>
      </c>
      <c r="F601" s="190"/>
      <c r="G601" s="190"/>
      <c r="H601" s="190"/>
      <c r="I601" s="190" t="s">
        <v>793</v>
      </c>
      <c r="J601" s="190"/>
      <c r="K601" s="190"/>
      <c r="L601" s="190"/>
      <c r="M601" s="190"/>
      <c r="N601" s="155" t="s">
        <v>795</v>
      </c>
      <c r="O601" s="163" t="s">
        <v>796</v>
      </c>
    </row>
    <row r="603" spans="2:21" ht="19.5" customHeight="1" x14ac:dyDescent="0.25">
      <c r="F603" s="184" t="s">
        <v>779</v>
      </c>
      <c r="G603" s="184"/>
      <c r="H603" s="184"/>
    </row>
    <row r="604" spans="2:21" ht="15" customHeight="1" x14ac:dyDescent="0.25">
      <c r="B604" s="155" t="s">
        <v>780</v>
      </c>
      <c r="C604" s="155" t="s">
        <v>272</v>
      </c>
      <c r="E604" s="184" t="str">
        <f>B605</f>
        <v>Simply supported four sides</v>
      </c>
      <c r="F604" s="184"/>
      <c r="G604" s="184"/>
      <c r="H604" s="184"/>
      <c r="I604" s="184"/>
      <c r="K604" s="184" t="s">
        <v>782</v>
      </c>
      <c r="L604" s="184"/>
      <c r="M604" s="184"/>
      <c r="Q604" s="184" t="s">
        <v>783</v>
      </c>
      <c r="R604" s="184"/>
      <c r="S604" s="184"/>
    </row>
    <row r="605" spans="2:21" ht="18" customHeight="1" x14ac:dyDescent="0.25">
      <c r="B605" s="162" t="s">
        <v>781</v>
      </c>
      <c r="C605" s="155">
        <v>0</v>
      </c>
      <c r="E605" s="161" t="s">
        <v>776</v>
      </c>
      <c r="F605" s="161" t="s">
        <v>777</v>
      </c>
      <c r="G605" s="161" t="s">
        <v>778</v>
      </c>
      <c r="H605" s="161" t="s">
        <v>791</v>
      </c>
      <c r="I605" s="161" t="s">
        <v>794</v>
      </c>
      <c r="K605" s="161" t="s">
        <v>776</v>
      </c>
      <c r="L605" s="161" t="s">
        <v>777</v>
      </c>
      <c r="M605" s="161" t="s">
        <v>778</v>
      </c>
      <c r="N605" s="161" t="s">
        <v>791</v>
      </c>
      <c r="O605" s="161" t="s">
        <v>794</v>
      </c>
      <c r="Q605" s="161" t="s">
        <v>776</v>
      </c>
      <c r="R605" s="161" t="s">
        <v>777</v>
      </c>
      <c r="S605" s="161" t="s">
        <v>778</v>
      </c>
      <c r="T605" s="161" t="s">
        <v>791</v>
      </c>
      <c r="U605" s="161" t="s">
        <v>794</v>
      </c>
    </row>
    <row r="606" spans="2:21" ht="15" customHeight="1" x14ac:dyDescent="0.25">
      <c r="B606" s="162" t="s">
        <v>782</v>
      </c>
      <c r="C606" s="155">
        <v>1</v>
      </c>
      <c r="E606" s="161">
        <v>1</v>
      </c>
      <c r="F606" s="161">
        <v>6.2E-2</v>
      </c>
      <c r="G606" s="161">
        <v>6.2E-2</v>
      </c>
      <c r="H606" s="161">
        <v>0</v>
      </c>
      <c r="I606" s="161">
        <v>0</v>
      </c>
      <c r="K606" s="161">
        <v>1</v>
      </c>
      <c r="L606" s="161">
        <v>3.2000000000000001E-2</v>
      </c>
      <c r="M606" s="161">
        <v>3.2000000000000001E-2</v>
      </c>
      <c r="N606" s="161">
        <v>2.4E-2</v>
      </c>
      <c r="O606" s="161">
        <v>2.4E-2</v>
      </c>
      <c r="Q606" s="161">
        <v>1</v>
      </c>
      <c r="R606" s="161">
        <v>3.6999999999999998E-2</v>
      </c>
      <c r="S606" s="161">
        <v>3.6999999999999998E-2</v>
      </c>
      <c r="T606" s="161">
        <v>2.8000000000000001E-2</v>
      </c>
      <c r="U606" s="161">
        <v>2.8000000000000001E-2</v>
      </c>
    </row>
    <row r="607" spans="2:21" ht="15" customHeight="1" x14ac:dyDescent="0.25">
      <c r="B607" s="162" t="s">
        <v>783</v>
      </c>
      <c r="C607" s="155">
        <v>2</v>
      </c>
      <c r="E607" s="161">
        <v>1.1000000000000001</v>
      </c>
      <c r="F607" s="161">
        <v>7.3999999999999996E-2</v>
      </c>
      <c r="G607" s="161">
        <v>6.0999999999999999E-2</v>
      </c>
      <c r="H607" s="161">
        <v>0</v>
      </c>
      <c r="I607" s="161">
        <v>0</v>
      </c>
      <c r="K607" s="161">
        <v>1.1000000000000001</v>
      </c>
      <c r="L607" s="161">
        <v>3.6999999999999998E-2</v>
      </c>
      <c r="M607" s="161">
        <v>3.2000000000000001E-2</v>
      </c>
      <c r="N607" s="161">
        <v>2.8000000000000001E-2</v>
      </c>
      <c r="O607" s="161">
        <v>2.4E-2</v>
      </c>
      <c r="Q607" s="161">
        <v>1.1000000000000001</v>
      </c>
      <c r="R607" s="161">
        <v>4.2999999999999997E-2</v>
      </c>
      <c r="S607" s="161">
        <v>3.6999999999999998E-2</v>
      </c>
      <c r="T607" s="161">
        <v>3.2000000000000001E-2</v>
      </c>
      <c r="U607" s="161">
        <v>2.8000000000000001E-2</v>
      </c>
    </row>
    <row r="608" spans="2:21" ht="15" customHeight="1" x14ac:dyDescent="0.25">
      <c r="B608" s="162" t="s">
        <v>784</v>
      </c>
      <c r="C608" s="155">
        <v>3</v>
      </c>
      <c r="E608" s="161">
        <v>1.2</v>
      </c>
      <c r="F608" s="161">
        <v>8.4000000000000005E-2</v>
      </c>
      <c r="G608" s="161">
        <v>5.8999999999999997E-2</v>
      </c>
      <c r="H608" s="161">
        <v>0</v>
      </c>
      <c r="I608" s="161">
        <v>0</v>
      </c>
      <c r="K608" s="161">
        <v>1.2</v>
      </c>
      <c r="L608" s="161">
        <v>4.2999999999999997E-2</v>
      </c>
      <c r="M608" s="161">
        <v>3.2000000000000001E-2</v>
      </c>
      <c r="N608" s="161">
        <v>3.2000000000000001E-2</v>
      </c>
      <c r="O608" s="161">
        <v>2.4E-2</v>
      </c>
      <c r="Q608" s="161">
        <v>1.2</v>
      </c>
      <c r="R608" s="161">
        <v>4.8000000000000001E-2</v>
      </c>
      <c r="S608" s="161">
        <v>3.6999999999999998E-2</v>
      </c>
      <c r="T608" s="161">
        <v>3.5999999999999997E-2</v>
      </c>
      <c r="U608" s="161">
        <v>2.8000000000000001E-2</v>
      </c>
    </row>
    <row r="609" spans="2:21" ht="15" customHeight="1" x14ac:dyDescent="0.25">
      <c r="B609" s="162" t="s">
        <v>785</v>
      </c>
      <c r="C609" s="155">
        <v>4</v>
      </c>
      <c r="E609" s="161">
        <v>1.3</v>
      </c>
      <c r="F609" s="161">
        <v>9.2999999999999999E-2</v>
      </c>
      <c r="G609" s="161">
        <v>5.5E-2</v>
      </c>
      <c r="H609" s="161">
        <v>0</v>
      </c>
      <c r="I609" s="161">
        <v>0</v>
      </c>
      <c r="K609" s="161">
        <v>1.3</v>
      </c>
      <c r="L609" s="161">
        <v>4.7E-2</v>
      </c>
      <c r="M609" s="161">
        <v>3.2000000000000001E-2</v>
      </c>
      <c r="N609" s="161">
        <v>3.5999999999999997E-2</v>
      </c>
      <c r="O609" s="161">
        <v>2.4E-2</v>
      </c>
      <c r="Q609" s="161">
        <v>1.3</v>
      </c>
      <c r="R609" s="161">
        <v>5.0999999999999997E-2</v>
      </c>
      <c r="S609" s="161">
        <v>3.6999999999999998E-2</v>
      </c>
      <c r="T609" s="161">
        <v>3.9E-2</v>
      </c>
      <c r="U609" s="161">
        <v>2.8000000000000001E-2</v>
      </c>
    </row>
    <row r="610" spans="2:21" ht="15" customHeight="1" x14ac:dyDescent="0.25">
      <c r="B610" s="162" t="s">
        <v>786</v>
      </c>
      <c r="C610" s="155">
        <v>5</v>
      </c>
      <c r="E610" s="161">
        <v>1.4</v>
      </c>
      <c r="F610" s="161">
        <v>9.9000000000000005E-2</v>
      </c>
      <c r="G610" s="161">
        <v>5.0999999999999997E-2</v>
      </c>
      <c r="H610" s="161">
        <v>0</v>
      </c>
      <c r="I610" s="161">
        <v>0</v>
      </c>
      <c r="K610" s="161">
        <v>1.4</v>
      </c>
      <c r="L610" s="161">
        <v>5.0999999999999997E-2</v>
      </c>
      <c r="M610" s="161">
        <v>3.2000000000000001E-2</v>
      </c>
      <c r="N610" s="161">
        <v>3.9E-2</v>
      </c>
      <c r="O610" s="161">
        <v>2.4E-2</v>
      </c>
      <c r="Q610" s="161">
        <v>1.4</v>
      </c>
      <c r="R610" s="161">
        <v>5.5E-2</v>
      </c>
      <c r="S610" s="161">
        <v>3.6999999999999998E-2</v>
      </c>
      <c r="T610" s="161">
        <v>4.1000000000000002E-2</v>
      </c>
      <c r="U610" s="161">
        <v>2.8000000000000001E-2</v>
      </c>
    </row>
    <row r="611" spans="2:21" ht="15" customHeight="1" x14ac:dyDescent="0.25">
      <c r="B611" s="162" t="s">
        <v>787</v>
      </c>
      <c r="C611" s="155">
        <v>6</v>
      </c>
      <c r="E611" s="161">
        <v>1.5</v>
      </c>
      <c r="F611" s="161">
        <v>0.104</v>
      </c>
      <c r="G611" s="161">
        <v>4.5999999999999999E-2</v>
      </c>
      <c r="H611" s="161">
        <v>0</v>
      </c>
      <c r="I611" s="161">
        <v>0</v>
      </c>
      <c r="K611" s="161">
        <v>1.5</v>
      </c>
      <c r="L611" s="161">
        <v>5.2999999999999999E-2</v>
      </c>
      <c r="M611" s="161">
        <v>3.2000000000000001E-2</v>
      </c>
      <c r="N611" s="161">
        <v>4.1000000000000002E-2</v>
      </c>
      <c r="O611" s="161">
        <v>2.4E-2</v>
      </c>
      <c r="Q611" s="161">
        <v>1.5</v>
      </c>
      <c r="R611" s="161">
        <v>5.7000000000000002E-2</v>
      </c>
      <c r="S611" s="161">
        <v>3.6999999999999998E-2</v>
      </c>
      <c r="T611" s="161">
        <v>4.3999999999999997E-2</v>
      </c>
      <c r="U611" s="161">
        <v>2.8000000000000001E-2</v>
      </c>
    </row>
    <row r="612" spans="2:21" ht="15" customHeight="1" x14ac:dyDescent="0.25">
      <c r="B612" s="162" t="s">
        <v>788</v>
      </c>
      <c r="C612" s="155">
        <v>7</v>
      </c>
      <c r="E612" s="161">
        <v>1.75</v>
      </c>
      <c r="F612" s="161">
        <v>0.113</v>
      </c>
      <c r="G612" s="161">
        <v>3.6999999999999998E-2</v>
      </c>
      <c r="H612" s="161">
        <v>0</v>
      </c>
      <c r="I612" s="161">
        <v>0</v>
      </c>
      <c r="K612" s="161">
        <v>1.75</v>
      </c>
      <c r="L612" s="161">
        <v>0.06</v>
      </c>
      <c r="M612" s="161">
        <v>3.2000000000000001E-2</v>
      </c>
      <c r="N612" s="161">
        <v>4.4999999999999998E-2</v>
      </c>
      <c r="O612" s="161">
        <v>2.4E-2</v>
      </c>
      <c r="Q612" s="161">
        <v>1.75</v>
      </c>
      <c r="R612" s="161">
        <v>6.4000000000000001E-2</v>
      </c>
      <c r="S612" s="161">
        <v>3.6999999999999998E-2</v>
      </c>
      <c r="T612" s="161">
        <v>4.8000000000000001E-2</v>
      </c>
      <c r="U612" s="161">
        <v>2.8000000000000001E-2</v>
      </c>
    </row>
    <row r="613" spans="2:21" ht="15" customHeight="1" x14ac:dyDescent="0.25">
      <c r="B613" s="162" t="s">
        <v>789</v>
      </c>
      <c r="C613" s="155">
        <v>8</v>
      </c>
      <c r="E613" s="161">
        <v>2</v>
      </c>
      <c r="F613" s="161">
        <v>0.11799999999999999</v>
      </c>
      <c r="G613" s="161">
        <v>2.9000000000000001E-2</v>
      </c>
      <c r="H613" s="161">
        <v>0</v>
      </c>
      <c r="I613" s="161">
        <v>0</v>
      </c>
      <c r="K613" s="161">
        <v>2</v>
      </c>
      <c r="L613" s="161">
        <v>6.5000000000000002E-2</v>
      </c>
      <c r="M613" s="161">
        <v>3.2000000000000001E-2</v>
      </c>
      <c r="N613" s="161">
        <v>4.9000000000000002E-2</v>
      </c>
      <c r="O613" s="161">
        <v>2.4E-2</v>
      </c>
      <c r="Q613" s="161">
        <v>2</v>
      </c>
      <c r="R613" s="161">
        <v>6.8000000000000005E-2</v>
      </c>
      <c r="S613" s="161">
        <v>3.6999999999999998E-2</v>
      </c>
      <c r="T613" s="161">
        <v>5.1999999999999998E-2</v>
      </c>
      <c r="U613" s="161">
        <v>2.8000000000000001E-2</v>
      </c>
    </row>
    <row r="614" spans="2:21" ht="15" customHeight="1" x14ac:dyDescent="0.25">
      <c r="B614" s="162" t="s">
        <v>790</v>
      </c>
      <c r="C614" s="155">
        <v>9</v>
      </c>
      <c r="E614" s="161">
        <v>2.5</v>
      </c>
      <c r="F614" s="161">
        <v>0.122</v>
      </c>
      <c r="G614" s="161">
        <v>0.02</v>
      </c>
      <c r="H614" s="161">
        <v>0</v>
      </c>
      <c r="I614" s="161">
        <v>0</v>
      </c>
    </row>
    <row r="615" spans="2:21" x14ac:dyDescent="0.25">
      <c r="E615" s="161">
        <v>3</v>
      </c>
      <c r="F615" s="161">
        <v>0.124</v>
      </c>
      <c r="G615" s="161">
        <v>1.4E-2</v>
      </c>
      <c r="H615" s="161">
        <v>0</v>
      </c>
      <c r="I615" s="161">
        <v>0</v>
      </c>
    </row>
    <row r="616" spans="2:21" x14ac:dyDescent="0.25">
      <c r="B616" s="155" t="s">
        <v>801</v>
      </c>
      <c r="C616" s="155" t="s">
        <v>272</v>
      </c>
    </row>
    <row r="617" spans="2:21" x14ac:dyDescent="0.25">
      <c r="B617" s="166" t="s">
        <v>797</v>
      </c>
      <c r="C617" s="155">
        <v>0</v>
      </c>
    </row>
    <row r="618" spans="2:21" x14ac:dyDescent="0.25">
      <c r="B618" s="166" t="s">
        <v>798</v>
      </c>
      <c r="C618" s="155">
        <v>1</v>
      </c>
    </row>
    <row r="619" spans="2:21" x14ac:dyDescent="0.25">
      <c r="B619" s="166" t="s">
        <v>799</v>
      </c>
      <c r="C619" s="155">
        <v>2</v>
      </c>
    </row>
    <row r="620" spans="2:21" x14ac:dyDescent="0.25">
      <c r="B620" s="166" t="s">
        <v>800</v>
      </c>
      <c r="C620" s="155">
        <v>3</v>
      </c>
      <c r="E620" s="184" t="str">
        <f>B608</f>
        <v>One Long Edge Discontinuous</v>
      </c>
      <c r="F620" s="184"/>
      <c r="G620" s="184"/>
    </row>
    <row r="621" spans="2:21" x14ac:dyDescent="0.25">
      <c r="E621" s="161" t="s">
        <v>776</v>
      </c>
      <c r="F621" s="161" t="s">
        <v>777</v>
      </c>
      <c r="G621" s="161" t="s">
        <v>778</v>
      </c>
      <c r="H621" s="161" t="s">
        <v>791</v>
      </c>
      <c r="I621" s="161" t="s">
        <v>794</v>
      </c>
      <c r="K621" s="184" t="str">
        <f>B609</f>
        <v>Two Adjacent Edges Discontinuous</v>
      </c>
      <c r="L621" s="184"/>
      <c r="M621" s="184"/>
      <c r="N621" s="184"/>
      <c r="O621" s="184"/>
      <c r="Q621" s="184" t="str">
        <f>B610</f>
        <v>Two Short Edges Discontinuous</v>
      </c>
      <c r="R621" s="184"/>
      <c r="S621" s="184"/>
      <c r="T621" s="184"/>
      <c r="U621" s="184"/>
    </row>
    <row r="622" spans="2:21" x14ac:dyDescent="0.25">
      <c r="E622" s="161">
        <v>1</v>
      </c>
      <c r="F622" s="161">
        <v>3.6999999999999998E-2</v>
      </c>
      <c r="G622" s="161">
        <v>3.6999999999999998E-2</v>
      </c>
      <c r="H622" s="161">
        <v>2.8000000000000001E-2</v>
      </c>
      <c r="I622" s="161">
        <v>2.8000000000000001E-2</v>
      </c>
      <c r="K622" s="161" t="s">
        <v>776</v>
      </c>
      <c r="L622" s="161" t="s">
        <v>777</v>
      </c>
      <c r="M622" s="161" t="s">
        <v>778</v>
      </c>
      <c r="N622" s="161" t="s">
        <v>791</v>
      </c>
      <c r="O622" s="161" t="s">
        <v>794</v>
      </c>
      <c r="Q622" s="161" t="s">
        <v>776</v>
      </c>
      <c r="R622" s="161" t="s">
        <v>777</v>
      </c>
      <c r="S622" s="161" t="s">
        <v>778</v>
      </c>
      <c r="T622" s="161" t="s">
        <v>791</v>
      </c>
      <c r="U622" s="161" t="s">
        <v>794</v>
      </c>
    </row>
    <row r="623" spans="2:21" x14ac:dyDescent="0.25">
      <c r="E623" s="161">
        <v>1.1000000000000001</v>
      </c>
      <c r="F623" s="161">
        <v>4.3999999999999997E-2</v>
      </c>
      <c r="G623" s="161">
        <v>3.6999999999999998E-2</v>
      </c>
      <c r="H623" s="161">
        <v>3.3000000000000002E-2</v>
      </c>
      <c r="I623" s="161">
        <v>2.8000000000000001E-2</v>
      </c>
      <c r="K623" s="161">
        <v>1</v>
      </c>
      <c r="L623" s="161">
        <v>4.7E-2</v>
      </c>
      <c r="M623" s="161">
        <v>4.7E-2</v>
      </c>
      <c r="N623" s="161">
        <v>3.5000000000000003E-2</v>
      </c>
      <c r="O623" s="161">
        <v>3.5000000000000003E-2</v>
      </c>
      <c r="Q623" s="161">
        <v>1</v>
      </c>
      <c r="R623" s="155">
        <v>4.4999999999999998E-2</v>
      </c>
      <c r="S623" s="155">
        <v>0</v>
      </c>
      <c r="T623" s="155">
        <v>3.5000000000000003E-2</v>
      </c>
      <c r="U623" s="155">
        <v>3.5000000000000003E-2</v>
      </c>
    </row>
    <row r="624" spans="2:21" x14ac:dyDescent="0.25">
      <c r="C624" s="163"/>
      <c r="D624" s="163"/>
      <c r="E624" s="161">
        <v>1.2</v>
      </c>
      <c r="F624" s="161">
        <v>5.1999999999999998E-2</v>
      </c>
      <c r="G624" s="161">
        <v>3.6999999999999998E-2</v>
      </c>
      <c r="H624" s="161">
        <v>3.9E-2</v>
      </c>
      <c r="I624" s="161">
        <v>2.8000000000000001E-2</v>
      </c>
      <c r="K624" s="161">
        <v>1.1000000000000001</v>
      </c>
      <c r="L624" s="161">
        <v>5.2999999999999999E-2</v>
      </c>
      <c r="M624" s="161">
        <v>4.7E-2</v>
      </c>
      <c r="N624" s="161">
        <v>0.04</v>
      </c>
      <c r="O624" s="161">
        <v>3.5000000000000003E-2</v>
      </c>
      <c r="Q624" s="161">
        <v>1.1000000000000001</v>
      </c>
      <c r="R624" s="155">
        <v>4.9000000000000002E-2</v>
      </c>
      <c r="S624" s="155">
        <v>0</v>
      </c>
      <c r="T624" s="155">
        <v>3.6999999999999998E-2</v>
      </c>
      <c r="U624" s="155">
        <v>3.5000000000000003E-2</v>
      </c>
    </row>
    <row r="625" spans="3:21" x14ac:dyDescent="0.25">
      <c r="C625" s="163"/>
      <c r="D625" s="163"/>
      <c r="E625" s="161">
        <v>1.3</v>
      </c>
      <c r="F625" s="161">
        <v>5.7000000000000002E-2</v>
      </c>
      <c r="G625" s="161">
        <v>3.6999999999999998E-2</v>
      </c>
      <c r="H625" s="161">
        <v>4.3999999999999997E-2</v>
      </c>
      <c r="I625" s="161">
        <v>2.8000000000000001E-2</v>
      </c>
      <c r="K625" s="161">
        <v>1.2</v>
      </c>
      <c r="L625" s="161">
        <v>0.06</v>
      </c>
      <c r="M625" s="161">
        <v>4.7E-2</v>
      </c>
      <c r="N625" s="161">
        <v>4.4999999999999998E-2</v>
      </c>
      <c r="O625" s="161">
        <v>3.5000000000000003E-2</v>
      </c>
      <c r="Q625" s="161">
        <v>1.2</v>
      </c>
      <c r="R625" s="155">
        <v>5.1999999999999998E-2</v>
      </c>
      <c r="S625" s="155">
        <v>0</v>
      </c>
      <c r="T625" s="155">
        <v>0.04</v>
      </c>
      <c r="U625" s="155">
        <v>3.5000000000000003E-2</v>
      </c>
    </row>
    <row r="626" spans="3:21" x14ac:dyDescent="0.25">
      <c r="C626" s="163"/>
      <c r="D626" s="163"/>
      <c r="E626" s="161">
        <v>1.4</v>
      </c>
      <c r="F626" s="161">
        <v>6.3E-2</v>
      </c>
      <c r="G626" s="161">
        <v>3.6999999999999998E-2</v>
      </c>
      <c r="H626" s="161">
        <v>4.7E-2</v>
      </c>
      <c r="I626" s="161">
        <v>2.8000000000000001E-2</v>
      </c>
      <c r="K626" s="161">
        <v>1.3</v>
      </c>
      <c r="L626" s="161">
        <v>6.5000000000000002E-2</v>
      </c>
      <c r="M626" s="161">
        <v>4.7E-2</v>
      </c>
      <c r="N626" s="161">
        <v>4.9000000000000002E-2</v>
      </c>
      <c r="O626" s="161">
        <v>3.5000000000000003E-2</v>
      </c>
      <c r="Q626" s="161">
        <v>1.3</v>
      </c>
      <c r="R626" s="155">
        <v>5.6000000000000001E-2</v>
      </c>
      <c r="S626" s="155">
        <v>0</v>
      </c>
      <c r="T626" s="155">
        <v>4.2999999999999997E-2</v>
      </c>
      <c r="U626" s="155">
        <v>3.5000000000000003E-2</v>
      </c>
    </row>
    <row r="627" spans="3:21" x14ac:dyDescent="0.25">
      <c r="C627" s="163"/>
      <c r="D627" s="163"/>
      <c r="E627" s="161">
        <v>1.5</v>
      </c>
      <c r="F627" s="161">
        <v>6.7000000000000004E-2</v>
      </c>
      <c r="G627" s="161">
        <v>3.6999999999999998E-2</v>
      </c>
      <c r="H627" s="161">
        <v>5.0999999999999997E-2</v>
      </c>
      <c r="I627" s="161">
        <v>2.8000000000000001E-2</v>
      </c>
      <c r="K627" s="161">
        <v>1.4</v>
      </c>
      <c r="L627" s="161">
        <v>7.0999999999999994E-2</v>
      </c>
      <c r="M627" s="161">
        <v>4.7E-2</v>
      </c>
      <c r="N627" s="161">
        <v>5.2999999999999999E-2</v>
      </c>
      <c r="O627" s="161">
        <v>3.5000000000000003E-2</v>
      </c>
      <c r="Q627" s="161">
        <v>1.4</v>
      </c>
      <c r="R627" s="155">
        <v>5.8999999999999997E-2</v>
      </c>
      <c r="S627" s="155">
        <v>0</v>
      </c>
      <c r="T627" s="155">
        <v>4.3999999999999997E-2</v>
      </c>
      <c r="U627" s="155">
        <v>3.5000000000000003E-2</v>
      </c>
    </row>
    <row r="628" spans="3:21" x14ac:dyDescent="0.25">
      <c r="C628" s="163"/>
      <c r="D628" s="164"/>
      <c r="E628" s="161">
        <v>1.75</v>
      </c>
      <c r="F628" s="161">
        <v>7.6999999999999999E-2</v>
      </c>
      <c r="G628" s="161">
        <v>3.6999999999999998E-2</v>
      </c>
      <c r="H628" s="161">
        <v>5.8999999999999997E-2</v>
      </c>
      <c r="I628" s="161">
        <v>2.8000000000000001E-2</v>
      </c>
      <c r="K628" s="161">
        <v>1.5</v>
      </c>
      <c r="L628" s="161">
        <v>7.4999999999999997E-2</v>
      </c>
      <c r="M628" s="161">
        <v>4.7E-2</v>
      </c>
      <c r="N628" s="161">
        <v>5.6000000000000001E-2</v>
      </c>
      <c r="O628" s="161">
        <v>3.5000000000000003E-2</v>
      </c>
      <c r="Q628" s="161">
        <v>1.5</v>
      </c>
      <c r="R628" s="155">
        <v>0.06</v>
      </c>
      <c r="S628" s="155">
        <v>0</v>
      </c>
      <c r="T628" s="155">
        <v>4.4999999999999998E-2</v>
      </c>
      <c r="U628" s="155">
        <v>3.5000000000000003E-2</v>
      </c>
    </row>
    <row r="629" spans="3:21" x14ac:dyDescent="0.25">
      <c r="C629" s="163"/>
      <c r="D629" s="163"/>
      <c r="E629" s="161">
        <v>2</v>
      </c>
      <c r="F629" s="161">
        <v>8.5000000000000006E-2</v>
      </c>
      <c r="G629" s="161">
        <v>3.6999999999999998E-2</v>
      </c>
      <c r="H629" s="161">
        <v>6.5000000000000002E-2</v>
      </c>
      <c r="I629" s="161">
        <v>2.8000000000000001E-2</v>
      </c>
      <c r="K629" s="161">
        <v>1.75</v>
      </c>
      <c r="L629" s="161">
        <v>8.4000000000000005E-2</v>
      </c>
      <c r="M629" s="161">
        <v>4.7E-2</v>
      </c>
      <c r="N629" s="161">
        <v>6.3E-2</v>
      </c>
      <c r="O629" s="161">
        <v>3.5000000000000003E-2</v>
      </c>
      <c r="Q629" s="161">
        <v>1.75</v>
      </c>
      <c r="R629" s="155">
        <v>6.5000000000000002E-2</v>
      </c>
      <c r="S629" s="155">
        <v>0</v>
      </c>
      <c r="T629" s="155">
        <v>4.9000000000000002E-2</v>
      </c>
      <c r="U629" s="155">
        <v>3.5000000000000003E-2</v>
      </c>
    </row>
    <row r="630" spans="3:21" x14ac:dyDescent="0.25">
      <c r="C630" s="163"/>
      <c r="D630" s="163"/>
      <c r="E630" s="163"/>
      <c r="F630" s="163"/>
      <c r="G630" s="163"/>
      <c r="K630" s="161">
        <v>2</v>
      </c>
      <c r="L630" s="161">
        <v>9.0999999999999998E-2</v>
      </c>
      <c r="M630" s="161">
        <v>4.7E-2</v>
      </c>
      <c r="N630" s="161">
        <v>6.9000000000000006E-2</v>
      </c>
      <c r="O630" s="161">
        <v>3.5000000000000003E-2</v>
      </c>
      <c r="Q630" s="161">
        <v>2</v>
      </c>
      <c r="R630" s="155">
        <v>6.9000000000000006E-2</v>
      </c>
      <c r="S630" s="155">
        <v>0</v>
      </c>
      <c r="T630" s="155">
        <v>5.1999999999999998E-2</v>
      </c>
      <c r="U630" s="155">
        <v>3.5000000000000003E-2</v>
      </c>
    </row>
    <row r="631" spans="3:21" x14ac:dyDescent="0.25">
      <c r="C631" s="163"/>
      <c r="D631" s="163"/>
      <c r="E631" s="163"/>
      <c r="F631" s="163"/>
      <c r="G631" s="163"/>
    </row>
    <row r="632" spans="3:21" x14ac:dyDescent="0.25">
      <c r="C632" s="163"/>
      <c r="D632" s="163"/>
      <c r="E632" s="164"/>
      <c r="F632" s="163"/>
      <c r="G632" s="163"/>
    </row>
    <row r="633" spans="3:21" x14ac:dyDescent="0.25">
      <c r="C633" s="163"/>
      <c r="D633" s="163"/>
      <c r="E633" s="163"/>
      <c r="F633" s="163"/>
      <c r="G633" s="163"/>
    </row>
    <row r="634" spans="3:21" x14ac:dyDescent="0.25">
      <c r="C634" s="163"/>
      <c r="D634" s="163"/>
      <c r="E634" s="163"/>
      <c r="F634" s="163"/>
      <c r="G634" s="163"/>
    </row>
    <row r="635" spans="3:21" ht="60" customHeight="1" x14ac:dyDescent="0.25">
      <c r="C635" s="163"/>
      <c r="D635" s="163"/>
      <c r="E635" s="184" t="str">
        <f>B611</f>
        <v>Two Long Edges Discontinuous</v>
      </c>
      <c r="F635" s="184"/>
      <c r="G635" s="184"/>
      <c r="H635" s="184"/>
      <c r="I635" s="184"/>
      <c r="K635" s="184" t="str">
        <f>B612</f>
        <v>Three Edges (One long Edge) Discontinuous</v>
      </c>
      <c r="L635" s="184"/>
      <c r="M635" s="184"/>
      <c r="N635" s="184"/>
      <c r="O635" s="184"/>
      <c r="Q635" s="184" t="str">
        <f>B613</f>
        <v>Three Edges (One short Edge) Discontinuous</v>
      </c>
      <c r="R635" s="184"/>
      <c r="S635" s="184"/>
      <c r="T635" s="184"/>
      <c r="U635" s="184"/>
    </row>
    <row r="636" spans="3:21" x14ac:dyDescent="0.25">
      <c r="C636" s="164"/>
      <c r="D636" s="163"/>
      <c r="E636" s="161" t="s">
        <v>776</v>
      </c>
      <c r="F636" s="161" t="s">
        <v>777</v>
      </c>
      <c r="G636" s="161" t="s">
        <v>778</v>
      </c>
      <c r="H636" s="161" t="s">
        <v>791</v>
      </c>
      <c r="I636" s="161" t="s">
        <v>794</v>
      </c>
      <c r="K636" s="161" t="s">
        <v>776</v>
      </c>
      <c r="L636" s="161" t="s">
        <v>777</v>
      </c>
      <c r="M636" s="161" t="s">
        <v>778</v>
      </c>
      <c r="N636" s="161" t="s">
        <v>791</v>
      </c>
      <c r="O636" s="161" t="s">
        <v>794</v>
      </c>
      <c r="Q636" s="161" t="s">
        <v>776</v>
      </c>
      <c r="R636" s="161" t="s">
        <v>777</v>
      </c>
      <c r="S636" s="161" t="s">
        <v>778</v>
      </c>
      <c r="T636" s="161" t="s">
        <v>791</v>
      </c>
      <c r="U636" s="161" t="s">
        <v>794</v>
      </c>
    </row>
    <row r="637" spans="3:21" x14ac:dyDescent="0.25">
      <c r="C637" s="165"/>
      <c r="D637" s="163"/>
      <c r="E637" s="161">
        <v>1</v>
      </c>
      <c r="F637" s="155">
        <v>0</v>
      </c>
      <c r="G637" s="155">
        <v>4.4999999999999998E-2</v>
      </c>
      <c r="H637" s="155">
        <v>3.5000000000000003E-2</v>
      </c>
      <c r="I637" s="155">
        <v>3.5000000000000003E-2</v>
      </c>
      <c r="K637" s="161">
        <v>1</v>
      </c>
      <c r="L637" s="155">
        <v>5.7000000000000002E-2</v>
      </c>
      <c r="M637" s="155">
        <v>0</v>
      </c>
      <c r="N637" s="155">
        <v>4.2999999999999997E-2</v>
      </c>
      <c r="O637" s="155">
        <v>4.2999999999999997E-2</v>
      </c>
      <c r="Q637" s="161">
        <v>1</v>
      </c>
      <c r="R637" s="155">
        <v>0</v>
      </c>
      <c r="S637" s="155">
        <v>5.7000000000000002E-2</v>
      </c>
      <c r="T637" s="155">
        <v>4.2999999999999997E-2</v>
      </c>
      <c r="U637" s="155">
        <v>4.2999999999999997E-2</v>
      </c>
    </row>
    <row r="638" spans="3:21" x14ac:dyDescent="0.25">
      <c r="C638" s="164"/>
      <c r="D638" s="163"/>
      <c r="E638" s="161">
        <v>1.1000000000000001</v>
      </c>
      <c r="F638" s="155">
        <v>0</v>
      </c>
      <c r="G638" s="155">
        <v>4.4999999999999998E-2</v>
      </c>
      <c r="H638" s="155">
        <v>4.2999999999999997E-2</v>
      </c>
      <c r="I638" s="155">
        <v>3.5000000000000003E-2</v>
      </c>
      <c r="K638" s="161">
        <v>1.1000000000000001</v>
      </c>
      <c r="L638" s="155">
        <v>6.4000000000000001E-2</v>
      </c>
      <c r="M638" s="155">
        <v>0</v>
      </c>
      <c r="N638" s="155">
        <v>4.8000000000000001E-2</v>
      </c>
      <c r="O638" s="155">
        <v>4.2999999999999997E-2</v>
      </c>
      <c r="Q638" s="161">
        <v>1.1000000000000001</v>
      </c>
      <c r="R638" s="155">
        <v>0</v>
      </c>
      <c r="S638" s="155">
        <v>5.7000000000000002E-2</v>
      </c>
      <c r="T638" s="155">
        <v>5.0999999999999997E-2</v>
      </c>
      <c r="U638" s="155">
        <v>4.2999999999999997E-2</v>
      </c>
    </row>
    <row r="639" spans="3:21" x14ac:dyDescent="0.25">
      <c r="C639" s="163"/>
      <c r="D639" s="163"/>
      <c r="E639" s="161">
        <v>1.2</v>
      </c>
      <c r="F639" s="155">
        <v>0</v>
      </c>
      <c r="G639" s="155">
        <v>4.4999999999999998E-2</v>
      </c>
      <c r="H639" s="155">
        <v>5.0999999999999997E-2</v>
      </c>
      <c r="I639" s="155">
        <v>3.5000000000000003E-2</v>
      </c>
      <c r="K639" s="161">
        <v>1.2</v>
      </c>
      <c r="L639" s="155">
        <v>7.0999999999999994E-2</v>
      </c>
      <c r="M639" s="155">
        <v>0</v>
      </c>
      <c r="N639" s="155">
        <v>5.2999999999999999E-2</v>
      </c>
      <c r="O639" s="155">
        <v>4.2999999999999997E-2</v>
      </c>
      <c r="Q639" s="161">
        <v>1.2</v>
      </c>
      <c r="R639" s="155">
        <v>0</v>
      </c>
      <c r="S639" s="155">
        <v>5.7000000000000002E-2</v>
      </c>
      <c r="T639" s="155">
        <v>5.8999999999999997E-2</v>
      </c>
      <c r="U639" s="155">
        <v>4.2999999999999997E-2</v>
      </c>
    </row>
    <row r="640" spans="3:21" x14ac:dyDescent="0.25">
      <c r="C640" s="163"/>
      <c r="D640" s="163"/>
      <c r="E640" s="161">
        <v>1.3</v>
      </c>
      <c r="F640" s="155">
        <v>0</v>
      </c>
      <c r="G640" s="155">
        <v>4.4999999999999998E-2</v>
      </c>
      <c r="H640" s="155">
        <v>5.7000000000000002E-2</v>
      </c>
      <c r="I640" s="155">
        <v>3.5000000000000003E-2</v>
      </c>
      <c r="K640" s="161">
        <v>1.3</v>
      </c>
      <c r="L640" s="155">
        <v>7.5999999999999998E-2</v>
      </c>
      <c r="M640" s="155">
        <v>0</v>
      </c>
      <c r="N640" s="155">
        <v>5.7000000000000002E-2</v>
      </c>
      <c r="O640" s="155">
        <v>4.2999999999999997E-2</v>
      </c>
      <c r="Q640" s="161">
        <v>1.3</v>
      </c>
      <c r="R640" s="155">
        <v>0</v>
      </c>
      <c r="S640" s="155">
        <v>5.7000000000000002E-2</v>
      </c>
      <c r="T640" s="155">
        <v>6.5000000000000002E-2</v>
      </c>
      <c r="U640" s="155">
        <v>4.2999999999999997E-2</v>
      </c>
    </row>
    <row r="641" spans="3:21" x14ac:dyDescent="0.25">
      <c r="C641" s="163"/>
      <c r="D641" s="163"/>
      <c r="E641" s="161">
        <v>1.4</v>
      </c>
      <c r="F641" s="155">
        <v>0</v>
      </c>
      <c r="G641" s="155">
        <v>4.4999999999999998E-2</v>
      </c>
      <c r="H641" s="155">
        <v>6.3E-2</v>
      </c>
      <c r="I641" s="155">
        <v>3.5000000000000003E-2</v>
      </c>
      <c r="K641" s="161">
        <v>1.4</v>
      </c>
      <c r="L641" s="155">
        <v>0.08</v>
      </c>
      <c r="M641" s="155">
        <v>0</v>
      </c>
      <c r="N641" s="155">
        <v>0.06</v>
      </c>
      <c r="O641" s="155">
        <v>4.2999999999999997E-2</v>
      </c>
      <c r="Q641" s="161">
        <v>1.4</v>
      </c>
      <c r="R641" s="155">
        <v>0</v>
      </c>
      <c r="S641" s="155">
        <v>5.7000000000000002E-2</v>
      </c>
      <c r="T641" s="155">
        <v>7.0999999999999994E-2</v>
      </c>
      <c r="U641" s="155">
        <v>4.2999999999999997E-2</v>
      </c>
    </row>
    <row r="642" spans="3:21" x14ac:dyDescent="0.25">
      <c r="E642" s="161">
        <v>1.5</v>
      </c>
      <c r="F642" s="155">
        <v>0</v>
      </c>
      <c r="G642" s="155">
        <v>4.4999999999999998E-2</v>
      </c>
      <c r="H642" s="155">
        <v>6.8000000000000005E-2</v>
      </c>
      <c r="I642" s="155">
        <v>3.5000000000000003E-2</v>
      </c>
      <c r="K642" s="161">
        <v>1.5</v>
      </c>
      <c r="L642" s="155">
        <v>8.4000000000000005E-2</v>
      </c>
      <c r="M642" s="155">
        <v>0</v>
      </c>
      <c r="N642" s="155">
        <v>6.4000000000000001E-2</v>
      </c>
      <c r="O642" s="155">
        <v>4.2999999999999997E-2</v>
      </c>
      <c r="Q642" s="161">
        <v>1.5</v>
      </c>
      <c r="R642" s="155">
        <v>0</v>
      </c>
      <c r="S642" s="155">
        <v>5.7000000000000002E-2</v>
      </c>
      <c r="T642" s="155">
        <v>7.5999999999999998E-2</v>
      </c>
      <c r="U642" s="155">
        <v>4.2999999999999997E-2</v>
      </c>
    </row>
    <row r="643" spans="3:21" x14ac:dyDescent="0.25">
      <c r="E643" s="161">
        <v>1.75</v>
      </c>
      <c r="F643" s="155">
        <v>0</v>
      </c>
      <c r="G643" s="155">
        <v>4.4999999999999998E-2</v>
      </c>
      <c r="H643" s="155">
        <v>0.08</v>
      </c>
      <c r="I643" s="155">
        <v>3.5000000000000003E-2</v>
      </c>
      <c r="K643" s="161">
        <v>1.75</v>
      </c>
      <c r="L643" s="155">
        <v>9.0999999999999998E-2</v>
      </c>
      <c r="M643" s="155">
        <v>0</v>
      </c>
      <c r="N643" s="155">
        <v>6.9000000000000006E-2</v>
      </c>
      <c r="O643" s="155">
        <v>4.2999999999999997E-2</v>
      </c>
      <c r="Q643" s="161">
        <v>1.75</v>
      </c>
      <c r="R643" s="155">
        <v>0</v>
      </c>
      <c r="S643" s="155">
        <v>5.7000000000000002E-2</v>
      </c>
      <c r="T643" s="155">
        <v>8.6999999999999994E-2</v>
      </c>
      <c r="U643" s="155">
        <v>4.2999999999999997E-2</v>
      </c>
    </row>
    <row r="644" spans="3:21" x14ac:dyDescent="0.25">
      <c r="E644" s="161">
        <v>2</v>
      </c>
      <c r="F644" s="155">
        <v>0</v>
      </c>
      <c r="G644" s="155">
        <v>4.4999999999999998E-2</v>
      </c>
      <c r="H644" s="155">
        <v>8.7999999999999995E-2</v>
      </c>
      <c r="I644" s="155">
        <v>3.5000000000000003E-2</v>
      </c>
      <c r="K644" s="161">
        <v>2</v>
      </c>
      <c r="L644" s="155">
        <v>9.7000000000000003E-2</v>
      </c>
      <c r="M644" s="155">
        <v>0</v>
      </c>
      <c r="N644" s="155">
        <v>7.2999999999999995E-2</v>
      </c>
      <c r="O644" s="155">
        <v>4.2999999999999997E-2</v>
      </c>
      <c r="Q644" s="161">
        <v>2</v>
      </c>
      <c r="R644" s="155">
        <v>0</v>
      </c>
      <c r="S644" s="155">
        <v>5.7000000000000002E-2</v>
      </c>
      <c r="T644" s="155">
        <v>9.6000000000000002E-2</v>
      </c>
      <c r="U644" s="155">
        <v>4.2999999999999997E-2</v>
      </c>
    </row>
    <row r="648" spans="3:21" x14ac:dyDescent="0.25">
      <c r="E648" s="184" t="str">
        <f>B614</f>
        <v>Four Edge Discontinuous</v>
      </c>
      <c r="F648" s="184"/>
      <c r="G648" s="184"/>
      <c r="H648" s="184"/>
      <c r="I648" s="184"/>
    </row>
    <row r="649" spans="3:21" x14ac:dyDescent="0.25">
      <c r="E649" s="161" t="s">
        <v>776</v>
      </c>
      <c r="F649" s="161" t="s">
        <v>777</v>
      </c>
      <c r="G649" s="161" t="s">
        <v>778</v>
      </c>
      <c r="H649" s="161" t="s">
        <v>791</v>
      </c>
      <c r="I649" s="161" t="s">
        <v>794</v>
      </c>
    </row>
    <row r="650" spans="3:21" x14ac:dyDescent="0.25">
      <c r="E650" s="161">
        <v>1</v>
      </c>
      <c r="F650" s="155">
        <v>0</v>
      </c>
      <c r="G650" s="155">
        <v>0</v>
      </c>
      <c r="H650" s="155">
        <v>5.6000000000000001E-2</v>
      </c>
      <c r="I650" s="155">
        <v>5.6000000000000001E-2</v>
      </c>
    </row>
    <row r="651" spans="3:21" x14ac:dyDescent="0.25">
      <c r="E651" s="161">
        <v>1.1000000000000001</v>
      </c>
      <c r="F651" s="155">
        <v>0</v>
      </c>
      <c r="G651" s="155">
        <v>0</v>
      </c>
      <c r="H651" s="155">
        <v>6.4000000000000001E-2</v>
      </c>
      <c r="I651" s="155">
        <v>5.6000000000000001E-2</v>
      </c>
    </row>
    <row r="652" spans="3:21" x14ac:dyDescent="0.25">
      <c r="E652" s="161">
        <v>1.2</v>
      </c>
      <c r="F652" s="155">
        <v>0</v>
      </c>
      <c r="G652" s="155">
        <v>0</v>
      </c>
      <c r="H652" s="155">
        <v>7.1999999999999995E-2</v>
      </c>
      <c r="I652" s="155">
        <v>5.6000000000000001E-2</v>
      </c>
    </row>
    <row r="653" spans="3:21" x14ac:dyDescent="0.25">
      <c r="E653" s="161">
        <v>1.3</v>
      </c>
      <c r="F653" s="155">
        <v>0</v>
      </c>
      <c r="G653" s="155">
        <v>0</v>
      </c>
      <c r="H653" s="155">
        <v>7.9000000000000001E-2</v>
      </c>
      <c r="I653" s="155">
        <v>5.6000000000000001E-2</v>
      </c>
    </row>
    <row r="654" spans="3:21" x14ac:dyDescent="0.25">
      <c r="E654" s="161">
        <v>1.4</v>
      </c>
      <c r="F654" s="155">
        <v>0</v>
      </c>
      <c r="G654" s="155">
        <v>0</v>
      </c>
      <c r="H654" s="155">
        <v>8.5000000000000006E-2</v>
      </c>
      <c r="I654" s="155">
        <v>5.6000000000000001E-2</v>
      </c>
    </row>
    <row r="655" spans="3:21" x14ac:dyDescent="0.25">
      <c r="E655" s="161">
        <v>1.5</v>
      </c>
      <c r="F655" s="155">
        <v>0</v>
      </c>
      <c r="G655" s="155">
        <v>0</v>
      </c>
      <c r="H655" s="155">
        <v>8.8999999999999996E-2</v>
      </c>
      <c r="I655" s="155">
        <v>5.6000000000000001E-2</v>
      </c>
    </row>
    <row r="656" spans="3:21" x14ac:dyDescent="0.25">
      <c r="E656" s="161">
        <v>1.75</v>
      </c>
      <c r="F656" s="155">
        <v>0</v>
      </c>
      <c r="G656" s="155">
        <v>0</v>
      </c>
      <c r="H656" s="155">
        <v>0.1</v>
      </c>
      <c r="I656" s="155">
        <v>5.6000000000000001E-2</v>
      </c>
    </row>
    <row r="657" spans="5:9" x14ac:dyDescent="0.25">
      <c r="E657" s="161">
        <v>2</v>
      </c>
      <c r="F657" s="155">
        <v>0</v>
      </c>
      <c r="G657" s="155">
        <v>0</v>
      </c>
      <c r="H657" s="155">
        <v>0.107</v>
      </c>
      <c r="I657" s="155">
        <v>5.6000000000000001E-2</v>
      </c>
    </row>
  </sheetData>
  <mergeCells count="38">
    <mergeCell ref="E601:H601"/>
    <mergeCell ref="I601:M601"/>
    <mergeCell ref="K604:M604"/>
    <mergeCell ref="F603:H603"/>
    <mergeCell ref="C446:C451"/>
    <mergeCell ref="B380:B393"/>
    <mergeCell ref="C380:C386"/>
    <mergeCell ref="C387:C393"/>
    <mergeCell ref="A2:Z2"/>
    <mergeCell ref="B535:B544"/>
    <mergeCell ref="B394:B443"/>
    <mergeCell ref="C394:C405"/>
    <mergeCell ref="C406:C417"/>
    <mergeCell ref="C418:C431"/>
    <mergeCell ref="C432:C445"/>
    <mergeCell ref="B446:B451"/>
    <mergeCell ref="B356:B357"/>
    <mergeCell ref="C356:C357"/>
    <mergeCell ref="B360:B379"/>
    <mergeCell ref="C360:C371"/>
    <mergeCell ref="C372:C379"/>
    <mergeCell ref="B545:B560"/>
    <mergeCell ref="B561:B564"/>
    <mergeCell ref="B452:B459"/>
    <mergeCell ref="B460:B486"/>
    <mergeCell ref="C460:C468"/>
    <mergeCell ref="C469:C477"/>
    <mergeCell ref="C478:C486"/>
    <mergeCell ref="B487:B534"/>
    <mergeCell ref="E648:I648"/>
    <mergeCell ref="E604:I604"/>
    <mergeCell ref="K621:O621"/>
    <mergeCell ref="Q621:U621"/>
    <mergeCell ref="E635:I635"/>
    <mergeCell ref="K635:O635"/>
    <mergeCell ref="Q635:U635"/>
    <mergeCell ref="Q604:S604"/>
    <mergeCell ref="E620:G620"/>
  </mergeCells>
  <phoneticPr fontId="12" type="noConversion"/>
  <pageMargins left="0.7" right="0.7" top="0.75" bottom="0.75" header="0.3" footer="0.3"/>
  <pageSetup orientation="portrait" r:id="rId1"/>
  <legacyDrawing r:id="rId2"/>
  <tableParts count="19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AB73A-A9C8-47D5-A666-9B0B6C0C454A}">
  <sheetPr codeName="Sheet5"/>
  <dimension ref="B6:L36"/>
  <sheetViews>
    <sheetView tabSelected="1" topLeftCell="A10" workbookViewId="0">
      <selection activeCell="I44" sqref="I44"/>
    </sheetView>
  </sheetViews>
  <sheetFormatPr defaultRowHeight="15" x14ac:dyDescent="0.25"/>
  <cols>
    <col min="3" max="3" width="11.5703125" customWidth="1"/>
  </cols>
  <sheetData>
    <row r="6" spans="2:4" x14ac:dyDescent="0.25">
      <c r="B6" s="191" t="s">
        <v>802</v>
      </c>
      <c r="C6" s="192"/>
      <c r="D6" s="193"/>
    </row>
    <row r="7" spans="2:4" x14ac:dyDescent="0.25">
      <c r="B7" s="167"/>
      <c r="C7" s="167" t="s">
        <v>804</v>
      </c>
      <c r="D7" s="167">
        <v>1</v>
      </c>
    </row>
    <row r="8" spans="2:4" x14ac:dyDescent="0.25">
      <c r="B8" s="167"/>
      <c r="C8" s="167" t="s">
        <v>805</v>
      </c>
      <c r="D8" s="167" t="s">
        <v>19</v>
      </c>
    </row>
    <row r="9" spans="2:4" ht="18" x14ac:dyDescent="0.35">
      <c r="B9" s="167"/>
      <c r="C9" s="168" t="s">
        <v>806</v>
      </c>
      <c r="D9" s="169" cm="1">
        <f t="array" ref="D9">CL_D_ConcreteData(D8,"fck")</f>
        <v>30</v>
      </c>
    </row>
    <row r="10" spans="2:4" ht="18" x14ac:dyDescent="0.35">
      <c r="B10" s="167"/>
      <c r="C10" s="168" t="s">
        <v>807</v>
      </c>
      <c r="D10" s="170">
        <f>SQRT(D9)/1000</f>
        <v>5.4772255750516613E-3</v>
      </c>
    </row>
    <row r="11" spans="2:4" x14ac:dyDescent="0.25">
      <c r="B11" s="167"/>
      <c r="C11" s="168" t="s">
        <v>85</v>
      </c>
      <c r="D11" s="170">
        <f>D13/(D14*D15)</f>
        <v>2.5132741360000001E-3</v>
      </c>
    </row>
    <row r="12" spans="2:4" x14ac:dyDescent="0.25">
      <c r="B12" s="167"/>
      <c r="C12" s="168" t="s">
        <v>809</v>
      </c>
      <c r="D12" s="167">
        <v>0</v>
      </c>
    </row>
    <row r="13" spans="2:4" x14ac:dyDescent="0.25">
      <c r="B13" s="167"/>
      <c r="C13" s="168" t="s">
        <v>808</v>
      </c>
      <c r="D13" s="171" cm="1">
        <f t="array" ref="D13">CL_G_Rabar_A(10,8)</f>
        <v>628.318534</v>
      </c>
    </row>
    <row r="14" spans="2:4" x14ac:dyDescent="0.25">
      <c r="B14" s="167"/>
      <c r="C14" s="168" t="s">
        <v>129</v>
      </c>
      <c r="D14" s="172">
        <v>1000</v>
      </c>
    </row>
    <row r="15" spans="2:4" x14ac:dyDescent="0.25">
      <c r="B15" s="167"/>
      <c r="C15" s="168" t="s">
        <v>250</v>
      </c>
      <c r="D15" s="172">
        <v>250</v>
      </c>
    </row>
    <row r="16" spans="2:4" x14ac:dyDescent="0.25">
      <c r="B16" s="167"/>
      <c r="C16" s="167"/>
      <c r="D16" s="167"/>
    </row>
    <row r="17" spans="2:12" x14ac:dyDescent="0.25">
      <c r="B17" s="167" t="s">
        <v>803</v>
      </c>
      <c r="C17" s="173">
        <f>IF(D11&lt;D10,D7*(11+1.5*SQRT(D9)*D10/D11+3.2*SQRT(D9)*(D10/D11-1)^(1.5)),D7*(11+1.5*SQRT(D9)*D10/(D11-D12)+SQRT(D9)*SQRT(D12/D10)/12))</f>
        <v>51.351886146271205</v>
      </c>
      <c r="D17" s="167"/>
    </row>
    <row r="31" spans="2:12" x14ac:dyDescent="0.25">
      <c r="H31" s="174" t="s">
        <v>272</v>
      </c>
      <c r="J31" s="180" t="s">
        <v>272</v>
      </c>
      <c r="K31" s="180" t="s">
        <v>177</v>
      </c>
      <c r="L31" s="180" t="s">
        <v>254</v>
      </c>
    </row>
    <row r="32" spans="2:12" x14ac:dyDescent="0.25">
      <c r="H32" s="175">
        <v>1</v>
      </c>
      <c r="J32" s="181">
        <v>1</v>
      </c>
      <c r="K32" s="181">
        <v>2</v>
      </c>
      <c r="L32" s="181">
        <v>2</v>
      </c>
    </row>
    <row r="33" spans="8:12" x14ac:dyDescent="0.25">
      <c r="H33" s="176">
        <v>2</v>
      </c>
      <c r="J33" s="182">
        <v>3</v>
      </c>
      <c r="K33" s="182">
        <v>2</v>
      </c>
      <c r="L33" s="182">
        <v>2</v>
      </c>
    </row>
    <row r="34" spans="8:12" x14ac:dyDescent="0.25">
      <c r="H34" s="177">
        <v>3</v>
      </c>
      <c r="J34" s="194">
        <v>5</v>
      </c>
      <c r="K34" s="194">
        <v>2</v>
      </c>
      <c r="L34" s="194">
        <v>2</v>
      </c>
    </row>
    <row r="35" spans="8:12" x14ac:dyDescent="0.25">
      <c r="H35" s="178">
        <v>4</v>
      </c>
      <c r="J35" s="183">
        <v>4</v>
      </c>
      <c r="K35" s="183">
        <v>2</v>
      </c>
      <c r="L35" s="183">
        <v>2</v>
      </c>
    </row>
    <row r="36" spans="8:12" x14ac:dyDescent="0.25">
      <c r="H36" s="179">
        <v>5</v>
      </c>
      <c r="J36" s="182">
        <v>3</v>
      </c>
      <c r="K36" s="182">
        <v>2</v>
      </c>
      <c r="L36" s="182">
        <v>2</v>
      </c>
    </row>
  </sheetData>
  <mergeCells count="1">
    <mergeCell ref="B6:D6"/>
  </mergeCells>
  <conditionalFormatting sqref="C23">
    <cfRule type="expression" dxfId="0" priority="15">
      <formula>$C$17&gt;0</formula>
    </cfRule>
  </conditionalFormatting>
  <conditionalFormatting sqref="J32">
    <cfRule type="expression" priority="6" stopIfTrue="1">
      <formula>TRUE</formula>
    </cfRule>
    <cfRule type="expression" priority="9" stopIfTrue="1">
      <formula>TRUE</formula>
    </cfRule>
    <cfRule type="expression" priority="10" stopIfTrue="1">
      <formula>TRUE</formula>
    </cfRule>
    <cfRule type="expression" priority="11" stopIfTrue="1">
      <formula>TRUE</formula>
    </cfRule>
    <cfRule type="expression" priority="12" stopIfTrue="1">
      <formula>TRUE</formula>
    </cfRule>
    <cfRule type="expression" priority="13" stopIfTrue="1">
      <formula>TRUE</formula>
    </cfRule>
    <cfRule type="expression" priority="14" stopIfTrue="1">
      <formula>TRUE</formula>
    </cfRule>
  </conditionalFormatting>
  <conditionalFormatting sqref="K32">
    <cfRule type="expression" priority="1" stopIfTrue="1">
      <formula>TRUE</formula>
    </cfRule>
  </conditionalFormatting>
  <dataValidations count="1">
    <dataValidation type="list" allowBlank="1" showInputMessage="1" showErrorMessage="1" sqref="D8" xr:uid="{ACF46105-4042-4B4C-B0B0-E466D76BE039}">
      <formula1>"C12/15,C16/20,C20/25,C25/30,C30/37,C35/45,C40/50,C45/55,C50/60,C55/67,C60/75,C70/85,C80/95,C90/105"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1"/>
  <sheetViews>
    <sheetView workbookViewId="0"/>
  </sheetViews>
  <sheetFormatPr defaultRowHeight="15" x14ac:dyDescent="0.25"/>
  <sheetData>
    <row r="1" spans="1:17" ht="34.5" x14ac:dyDescent="0.3">
      <c r="A1" s="18" t="s">
        <v>120</v>
      </c>
      <c r="B1" s="19">
        <v>2</v>
      </c>
    </row>
    <row r="2" spans="1:17" ht="172.5" x14ac:dyDescent="0.3">
      <c r="A2" s="18" t="s">
        <v>121</v>
      </c>
      <c r="B2" s="18" t="s">
        <v>122</v>
      </c>
      <c r="D2" s="21" t="s">
        <v>123</v>
      </c>
      <c r="E2" s="22" t="s">
        <v>124</v>
      </c>
      <c r="F2" s="21" t="s">
        <v>125</v>
      </c>
      <c r="G2" s="22" t="s">
        <v>126</v>
      </c>
    </row>
    <row r="3" spans="1:17" ht="155.25" x14ac:dyDescent="0.3">
      <c r="A3" s="19" t="s">
        <v>127</v>
      </c>
      <c r="B3" s="18" t="s">
        <v>128</v>
      </c>
      <c r="D3" s="20" t="s">
        <v>129</v>
      </c>
      <c r="E3" s="19" t="s">
        <v>130</v>
      </c>
      <c r="F3" s="20" t="s">
        <v>131</v>
      </c>
      <c r="G3" s="19" t="s">
        <v>132</v>
      </c>
      <c r="H3" s="20" t="s">
        <v>125</v>
      </c>
      <c r="I3" s="19" t="s">
        <v>126</v>
      </c>
      <c r="J3" s="20" t="s">
        <v>133</v>
      </c>
      <c r="K3" s="19" t="s">
        <v>134</v>
      </c>
      <c r="L3" s="20" t="s">
        <v>135</v>
      </c>
      <c r="M3" s="19" t="s">
        <v>136</v>
      </c>
    </row>
    <row r="4" spans="1:17" ht="155.25" x14ac:dyDescent="0.3">
      <c r="A4" s="19" t="s">
        <v>137</v>
      </c>
      <c r="B4" s="18" t="s">
        <v>138</v>
      </c>
      <c r="D4" s="20" t="s">
        <v>123</v>
      </c>
      <c r="E4" s="19" t="s">
        <v>139</v>
      </c>
      <c r="F4" s="20" t="s">
        <v>140</v>
      </c>
      <c r="G4" s="19" t="s">
        <v>141</v>
      </c>
      <c r="H4" s="20" t="s">
        <v>125</v>
      </c>
      <c r="I4" s="19" t="s">
        <v>126</v>
      </c>
      <c r="J4" s="20" t="s">
        <v>142</v>
      </c>
      <c r="K4" s="19" t="s">
        <v>130</v>
      </c>
    </row>
    <row r="5" spans="1:17" ht="155.25" x14ac:dyDescent="0.3">
      <c r="A5" s="19" t="s">
        <v>143</v>
      </c>
      <c r="B5" s="18" t="s">
        <v>144</v>
      </c>
      <c r="D5" s="20" t="s">
        <v>145</v>
      </c>
      <c r="E5" s="19" t="s">
        <v>146</v>
      </c>
      <c r="F5" s="20" t="s">
        <v>123</v>
      </c>
      <c r="G5" s="19" t="s">
        <v>147</v>
      </c>
      <c r="H5" s="20" t="s">
        <v>140</v>
      </c>
      <c r="I5" s="19" t="s">
        <v>148</v>
      </c>
      <c r="J5" s="20" t="s">
        <v>149</v>
      </c>
      <c r="K5" s="19" t="s">
        <v>150</v>
      </c>
      <c r="L5" s="20" t="s">
        <v>151</v>
      </c>
      <c r="M5" s="19" t="s">
        <v>152</v>
      </c>
    </row>
    <row r="6" spans="1:17" ht="210" x14ac:dyDescent="0.25">
      <c r="A6" s="19" t="s">
        <v>153</v>
      </c>
      <c r="B6" s="19" t="s">
        <v>154</v>
      </c>
      <c r="D6" s="20" t="s">
        <v>145</v>
      </c>
      <c r="E6" s="19" t="s">
        <v>155</v>
      </c>
      <c r="F6" s="20" t="s">
        <v>123</v>
      </c>
      <c r="G6" s="19" t="s">
        <v>156</v>
      </c>
      <c r="H6" s="20" t="s">
        <v>140</v>
      </c>
      <c r="I6" s="19" t="s">
        <v>157</v>
      </c>
      <c r="J6" s="20" t="s">
        <v>149</v>
      </c>
      <c r="K6" s="19" t="s">
        <v>150</v>
      </c>
    </row>
    <row r="7" spans="1:17" ht="285" x14ac:dyDescent="0.25">
      <c r="A7" s="19" t="s">
        <v>158</v>
      </c>
      <c r="B7" s="19" t="s">
        <v>159</v>
      </c>
      <c r="D7" s="20" t="s">
        <v>160</v>
      </c>
      <c r="E7" s="19" t="s">
        <v>161</v>
      </c>
      <c r="F7" s="20" t="s">
        <v>162</v>
      </c>
      <c r="G7" s="19" t="s">
        <v>163</v>
      </c>
      <c r="H7" s="20" t="s">
        <v>164</v>
      </c>
      <c r="I7" s="19" t="s">
        <v>165</v>
      </c>
    </row>
    <row r="8" spans="1:17" ht="165" x14ac:dyDescent="0.25">
      <c r="A8" s="19" t="s">
        <v>166</v>
      </c>
      <c r="B8" s="19" t="s">
        <v>167</v>
      </c>
      <c r="D8" s="20" t="s">
        <v>160</v>
      </c>
      <c r="E8" s="19" t="s">
        <v>168</v>
      </c>
      <c r="F8" s="20" t="s">
        <v>162</v>
      </c>
      <c r="G8" s="19" t="s">
        <v>169</v>
      </c>
      <c r="H8" s="20" t="s">
        <v>164</v>
      </c>
      <c r="I8" s="19" t="s">
        <v>170</v>
      </c>
    </row>
    <row r="9" spans="1:17" ht="270" x14ac:dyDescent="0.25">
      <c r="A9" s="19" t="s">
        <v>171</v>
      </c>
      <c r="B9" s="19" t="s">
        <v>172</v>
      </c>
      <c r="D9" s="20" t="s">
        <v>173</v>
      </c>
      <c r="E9" s="19" t="s">
        <v>174</v>
      </c>
      <c r="F9" s="20" t="s">
        <v>175</v>
      </c>
      <c r="G9" s="19" t="s">
        <v>176</v>
      </c>
      <c r="H9" s="20" t="s">
        <v>177</v>
      </c>
      <c r="I9" s="19" t="s">
        <v>178</v>
      </c>
    </row>
    <row r="10" spans="1:17" ht="300" x14ac:dyDescent="0.25">
      <c r="A10" s="19" t="s">
        <v>179</v>
      </c>
      <c r="B10" s="19" t="s">
        <v>180</v>
      </c>
      <c r="D10" s="20" t="s">
        <v>173</v>
      </c>
      <c r="E10" s="19" t="s">
        <v>174</v>
      </c>
      <c r="F10" s="20" t="s">
        <v>175</v>
      </c>
      <c r="G10" s="19" t="s">
        <v>176</v>
      </c>
      <c r="H10" s="20" t="s">
        <v>177</v>
      </c>
      <c r="I10" s="19" t="s">
        <v>178</v>
      </c>
    </row>
    <row r="11" spans="1:17" ht="285" x14ac:dyDescent="0.25">
      <c r="A11" s="19" t="s">
        <v>181</v>
      </c>
      <c r="B11" s="19" t="s">
        <v>182</v>
      </c>
      <c r="D11" s="20" t="s">
        <v>173</v>
      </c>
      <c r="E11" s="19" t="s">
        <v>183</v>
      </c>
      <c r="F11" s="20" t="s">
        <v>175</v>
      </c>
      <c r="G11" s="19" t="s">
        <v>184</v>
      </c>
      <c r="H11" s="20" t="s">
        <v>177</v>
      </c>
      <c r="I11" s="19" t="s">
        <v>178</v>
      </c>
    </row>
    <row r="12" spans="1:17" ht="240" x14ac:dyDescent="0.25">
      <c r="A12" s="19" t="s">
        <v>185</v>
      </c>
      <c r="B12" s="19" t="s">
        <v>186</v>
      </c>
      <c r="D12" s="20" t="s">
        <v>187</v>
      </c>
      <c r="E12" s="19" t="s">
        <v>188</v>
      </c>
      <c r="F12" s="20" t="s">
        <v>189</v>
      </c>
      <c r="G12" s="19" t="s">
        <v>190</v>
      </c>
      <c r="H12" s="20" t="s">
        <v>191</v>
      </c>
      <c r="I12" s="19" t="s">
        <v>192</v>
      </c>
    </row>
    <row r="13" spans="1:17" ht="225" x14ac:dyDescent="0.25">
      <c r="A13" s="19" t="s">
        <v>193</v>
      </c>
      <c r="B13" s="19" t="s">
        <v>194</v>
      </c>
      <c r="D13" s="20" t="s">
        <v>195</v>
      </c>
      <c r="E13" s="19" t="s">
        <v>196</v>
      </c>
      <c r="F13" s="20" t="s">
        <v>177</v>
      </c>
      <c r="G13" s="19" t="s">
        <v>197</v>
      </c>
      <c r="H13" s="20" t="s">
        <v>198</v>
      </c>
      <c r="I13" s="19" t="s">
        <v>199</v>
      </c>
    </row>
    <row r="14" spans="1:17" ht="135" x14ac:dyDescent="0.25">
      <c r="A14" s="19" t="s">
        <v>200</v>
      </c>
      <c r="B14" s="19" t="s">
        <v>201</v>
      </c>
      <c r="D14" s="20" t="s">
        <v>202</v>
      </c>
      <c r="E14" s="19" t="s">
        <v>203</v>
      </c>
      <c r="F14" s="20" t="s">
        <v>204</v>
      </c>
      <c r="G14" s="19" t="s">
        <v>205</v>
      </c>
      <c r="H14" s="20" t="s">
        <v>206</v>
      </c>
      <c r="I14" s="23" t="s">
        <v>207</v>
      </c>
      <c r="J14" s="20" t="s">
        <v>208</v>
      </c>
      <c r="K14" s="19" t="s">
        <v>209</v>
      </c>
      <c r="L14" s="20" t="s">
        <v>210</v>
      </c>
      <c r="M14" s="19" t="s">
        <v>211</v>
      </c>
      <c r="N14" s="20" t="s">
        <v>212</v>
      </c>
      <c r="O14" s="19" t="s">
        <v>213</v>
      </c>
      <c r="P14" s="19" t="s">
        <v>214</v>
      </c>
      <c r="Q14" s="19" t="s">
        <v>215</v>
      </c>
    </row>
    <row r="15" spans="1:17" ht="315" x14ac:dyDescent="0.25">
      <c r="A15" s="19" t="s">
        <v>216</v>
      </c>
      <c r="B15" s="19" t="s">
        <v>217</v>
      </c>
      <c r="D15" s="20" t="s">
        <v>218</v>
      </c>
      <c r="E15" s="19" t="s">
        <v>219</v>
      </c>
      <c r="F15" s="20" t="s">
        <v>220</v>
      </c>
      <c r="G15" s="19" t="s">
        <v>221</v>
      </c>
    </row>
    <row r="16" spans="1:17" ht="210" x14ac:dyDescent="0.25">
      <c r="A16" s="19" t="s">
        <v>222</v>
      </c>
      <c r="B16" s="19" t="s">
        <v>223</v>
      </c>
      <c r="D16" s="20" t="s">
        <v>224</v>
      </c>
      <c r="E16" s="19" t="s">
        <v>225</v>
      </c>
    </row>
    <row r="17" spans="1:19" ht="315" x14ac:dyDescent="0.25">
      <c r="A17" s="19" t="s">
        <v>226</v>
      </c>
      <c r="B17" s="19" t="s">
        <v>227</v>
      </c>
      <c r="D17" s="20" t="s">
        <v>228</v>
      </c>
      <c r="E17" s="19" t="s">
        <v>229</v>
      </c>
      <c r="F17" s="20" t="s">
        <v>220</v>
      </c>
      <c r="G17" s="19" t="s">
        <v>230</v>
      </c>
    </row>
    <row r="18" spans="1:19" ht="180" x14ac:dyDescent="0.25">
      <c r="A18" s="19" t="s">
        <v>231</v>
      </c>
      <c r="B18" s="19" t="s">
        <v>232</v>
      </c>
      <c r="D18" s="20" t="s">
        <v>233</v>
      </c>
      <c r="E18" s="19" t="s">
        <v>234</v>
      </c>
      <c r="F18" s="20" t="s">
        <v>235</v>
      </c>
      <c r="G18" s="19" t="s">
        <v>236</v>
      </c>
      <c r="H18" s="20" t="s">
        <v>237</v>
      </c>
      <c r="I18" s="19" t="s">
        <v>238</v>
      </c>
    </row>
    <row r="19" spans="1:19" ht="315" x14ac:dyDescent="0.25">
      <c r="A19" s="19" t="s">
        <v>239</v>
      </c>
      <c r="B19" s="19" t="s">
        <v>240</v>
      </c>
      <c r="D19" s="20" t="s">
        <v>228</v>
      </c>
      <c r="E19" s="19" t="s">
        <v>241</v>
      </c>
      <c r="F19" s="20" t="s">
        <v>220</v>
      </c>
      <c r="G19" s="19" t="s">
        <v>230</v>
      </c>
    </row>
    <row r="20" spans="1:19" ht="210" x14ac:dyDescent="0.25">
      <c r="A20" s="19" t="s">
        <v>242</v>
      </c>
      <c r="B20" s="19" t="s">
        <v>243</v>
      </c>
      <c r="D20" s="20" t="s">
        <v>224</v>
      </c>
      <c r="E20" s="19" t="s">
        <v>225</v>
      </c>
    </row>
    <row r="21" spans="1:19" ht="210" x14ac:dyDescent="0.25">
      <c r="A21" s="19" t="s">
        <v>244</v>
      </c>
      <c r="B21" s="19" t="s">
        <v>245</v>
      </c>
      <c r="D21" s="20" t="s">
        <v>224</v>
      </c>
      <c r="E21" s="19" t="s">
        <v>225</v>
      </c>
    </row>
    <row r="22" spans="1:19" ht="210" x14ac:dyDescent="0.25">
      <c r="A22" s="19" t="s">
        <v>246</v>
      </c>
      <c r="B22" s="19" t="s">
        <v>247</v>
      </c>
      <c r="D22" s="20" t="s">
        <v>224</v>
      </c>
      <c r="E22" s="19" t="s">
        <v>225</v>
      </c>
    </row>
    <row r="23" spans="1:19" ht="135" x14ac:dyDescent="0.25">
      <c r="A23" s="19" t="s">
        <v>248</v>
      </c>
      <c r="B23" s="19" t="s">
        <v>249</v>
      </c>
      <c r="D23" s="20" t="s">
        <v>250</v>
      </c>
      <c r="E23" s="19" t="s">
        <v>251</v>
      </c>
      <c r="F23" s="20" t="s">
        <v>129</v>
      </c>
      <c r="G23" s="19" t="s">
        <v>252</v>
      </c>
      <c r="H23" s="20" t="s">
        <v>177</v>
      </c>
      <c r="I23" s="19" t="s">
        <v>253</v>
      </c>
      <c r="J23" s="20" t="s">
        <v>254</v>
      </c>
      <c r="K23" s="19" t="s">
        <v>253</v>
      </c>
      <c r="L23" s="20" t="s">
        <v>255</v>
      </c>
      <c r="M23" s="19" t="s">
        <v>256</v>
      </c>
    </row>
    <row r="24" spans="1:19" ht="135" x14ac:dyDescent="0.25">
      <c r="A24" s="19" t="s">
        <v>257</v>
      </c>
      <c r="B24" s="19" t="s">
        <v>258</v>
      </c>
      <c r="D24" s="20" t="s">
        <v>250</v>
      </c>
      <c r="E24" s="19" t="s">
        <v>251</v>
      </c>
      <c r="F24" s="20" t="s">
        <v>129</v>
      </c>
      <c r="G24" s="19" t="s">
        <v>252</v>
      </c>
      <c r="H24" s="20" t="s">
        <v>259</v>
      </c>
      <c r="I24" s="19" t="s">
        <v>260</v>
      </c>
      <c r="J24" s="20" t="s">
        <v>261</v>
      </c>
      <c r="K24" s="19" t="s">
        <v>262</v>
      </c>
      <c r="L24" s="20" t="s">
        <v>177</v>
      </c>
      <c r="M24" s="19" t="s">
        <v>253</v>
      </c>
      <c r="N24" s="20" t="s">
        <v>254</v>
      </c>
      <c r="O24" s="19" t="s">
        <v>253</v>
      </c>
      <c r="P24" s="19" t="s">
        <v>255</v>
      </c>
      <c r="Q24" s="19" t="s">
        <v>256</v>
      </c>
    </row>
    <row r="25" spans="1:19" ht="165" x14ac:dyDescent="0.25">
      <c r="A25" s="19" t="s">
        <v>263</v>
      </c>
      <c r="B25" s="19" t="s">
        <v>264</v>
      </c>
      <c r="D25" s="20" t="s">
        <v>195</v>
      </c>
      <c r="E25" s="19" t="s">
        <v>265</v>
      </c>
      <c r="F25" s="20" t="s">
        <v>266</v>
      </c>
      <c r="G25" s="19" t="s">
        <v>267</v>
      </c>
      <c r="H25" s="20" t="s">
        <v>177</v>
      </c>
      <c r="I25" s="19" t="s">
        <v>253</v>
      </c>
      <c r="J25" s="20" t="s">
        <v>254</v>
      </c>
      <c r="K25" s="19" t="s">
        <v>253</v>
      </c>
      <c r="L25" s="20" t="s">
        <v>255</v>
      </c>
      <c r="M25" s="19" t="s">
        <v>268</v>
      </c>
    </row>
    <row r="26" spans="1:19" ht="105" x14ac:dyDescent="0.25">
      <c r="A26" s="19" t="s">
        <v>269</v>
      </c>
      <c r="B26" s="19" t="s">
        <v>270</v>
      </c>
      <c r="D26" s="20" t="s">
        <v>250</v>
      </c>
      <c r="E26" s="19" t="s">
        <v>251</v>
      </c>
      <c r="F26" s="20" t="s">
        <v>129</v>
      </c>
      <c r="G26" s="19" t="s">
        <v>252</v>
      </c>
      <c r="H26" s="20" t="s">
        <v>177</v>
      </c>
      <c r="I26" s="19" t="s">
        <v>253</v>
      </c>
      <c r="J26" s="20" t="s">
        <v>254</v>
      </c>
      <c r="K26" s="19" t="s">
        <v>253</v>
      </c>
      <c r="L26" s="20" t="s">
        <v>255</v>
      </c>
      <c r="M26" s="19" t="s">
        <v>271</v>
      </c>
      <c r="N26" s="20" t="s">
        <v>272</v>
      </c>
      <c r="O26" s="19" t="s">
        <v>273</v>
      </c>
    </row>
    <row r="27" spans="1:19" ht="75" x14ac:dyDescent="0.25">
      <c r="A27" s="19" t="s">
        <v>274</v>
      </c>
      <c r="B27" s="19" t="s">
        <v>275</v>
      </c>
      <c r="D27" s="20" t="s">
        <v>250</v>
      </c>
      <c r="E27" s="19" t="s">
        <v>251</v>
      </c>
      <c r="F27" s="20" t="s">
        <v>129</v>
      </c>
      <c r="G27" s="19" t="s">
        <v>252</v>
      </c>
      <c r="H27" s="20" t="s">
        <v>259</v>
      </c>
      <c r="I27" s="19" t="s">
        <v>260</v>
      </c>
      <c r="J27" s="20" t="s">
        <v>261</v>
      </c>
      <c r="K27" s="19" t="s">
        <v>262</v>
      </c>
      <c r="L27" s="20" t="s">
        <v>177</v>
      </c>
      <c r="M27" s="19" t="s">
        <v>276</v>
      </c>
      <c r="N27" s="20" t="s">
        <v>254</v>
      </c>
      <c r="O27" s="19" t="s">
        <v>277</v>
      </c>
      <c r="P27" s="19" t="s">
        <v>255</v>
      </c>
      <c r="Q27" s="19" t="s">
        <v>278</v>
      </c>
      <c r="R27" s="19" t="s">
        <v>272</v>
      </c>
      <c r="S27" s="19" t="s">
        <v>273</v>
      </c>
    </row>
    <row r="28" spans="1:19" ht="90" x14ac:dyDescent="0.25">
      <c r="A28" s="19" t="s">
        <v>279</v>
      </c>
      <c r="B28" s="19" t="s">
        <v>280</v>
      </c>
      <c r="D28" s="20" t="s">
        <v>195</v>
      </c>
      <c r="E28" s="19" t="s">
        <v>265</v>
      </c>
      <c r="F28" s="20" t="s">
        <v>266</v>
      </c>
      <c r="G28" s="19" t="s">
        <v>281</v>
      </c>
      <c r="H28" s="20" t="s">
        <v>177</v>
      </c>
      <c r="I28" s="19" t="s">
        <v>282</v>
      </c>
      <c r="J28" s="20" t="s">
        <v>254</v>
      </c>
      <c r="K28" s="19" t="s">
        <v>283</v>
      </c>
      <c r="L28" s="20" t="s">
        <v>255</v>
      </c>
      <c r="M28" s="19" t="s">
        <v>284</v>
      </c>
      <c r="N28" s="20" t="s">
        <v>272</v>
      </c>
      <c r="O28" s="19" t="s">
        <v>273</v>
      </c>
    </row>
    <row r="29" spans="1:19" ht="195" x14ac:dyDescent="0.25">
      <c r="A29" s="19" t="s">
        <v>285</v>
      </c>
      <c r="B29" s="19" t="s">
        <v>286</v>
      </c>
      <c r="D29" s="20" t="s">
        <v>287</v>
      </c>
      <c r="E29" s="19" t="s">
        <v>288</v>
      </c>
      <c r="F29" s="20" t="s">
        <v>289</v>
      </c>
      <c r="G29" s="19" t="s">
        <v>290</v>
      </c>
      <c r="H29" s="20" t="s">
        <v>291</v>
      </c>
      <c r="I29" s="19" t="s">
        <v>292</v>
      </c>
    </row>
    <row r="30" spans="1:19" ht="210" x14ac:dyDescent="0.25">
      <c r="A30" s="19" t="s">
        <v>293</v>
      </c>
      <c r="B30" s="23" t="s">
        <v>294</v>
      </c>
      <c r="D30" s="20" t="s">
        <v>295</v>
      </c>
      <c r="E30" s="19" t="s">
        <v>296</v>
      </c>
      <c r="F30" s="20" t="s">
        <v>220</v>
      </c>
      <c r="G30" s="19" t="s">
        <v>296</v>
      </c>
      <c r="H30" s="20" t="s">
        <v>220</v>
      </c>
      <c r="I30" s="19" t="s">
        <v>296</v>
      </c>
      <c r="J30" s="20" t="s">
        <v>220</v>
      </c>
      <c r="K30" s="19" t="s">
        <v>296</v>
      </c>
      <c r="L30" s="20" t="s">
        <v>220</v>
      </c>
      <c r="M30" s="19" t="s">
        <v>296</v>
      </c>
    </row>
    <row r="31" spans="1:19" ht="165" x14ac:dyDescent="0.25">
      <c r="A31" s="19" t="s">
        <v>297</v>
      </c>
      <c r="B31" s="19" t="s">
        <v>298</v>
      </c>
      <c r="D31" s="20" t="s">
        <v>250</v>
      </c>
      <c r="E31" s="19" t="s">
        <v>299</v>
      </c>
      <c r="F31" s="20" t="s">
        <v>129</v>
      </c>
      <c r="G31" s="20" t="s">
        <v>300</v>
      </c>
      <c r="H31" s="20" t="s">
        <v>198</v>
      </c>
      <c r="I31" s="19" t="s">
        <v>301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units" Type="http://schemas.openxmlformats.org/officeDocument/2006/relationships/image" Target="images/units.png"/><Relationship Id="Lists2" Type="http://schemas.openxmlformats.org/officeDocument/2006/relationships/image" Target="images/Lists2.png"/><Relationship Id="copypaste2" Type="http://schemas.openxmlformats.org/officeDocument/2006/relationships/image" Target="images/copypaste2.png"/><Relationship Id="levelsum" Type="http://schemas.openxmlformats.org/officeDocument/2006/relationships/image" Target="images/levelsum.png"/><Relationship Id="GroupColor" Type="http://schemas.openxmlformats.org/officeDocument/2006/relationships/image" Target="images/GroupColor.png"/><Relationship Id="ECC" Type="http://schemas.openxmlformats.org/officeDocument/2006/relationships/image" Target="images/ECC.png"/><Relationship Id="formatting" Type="http://schemas.openxmlformats.org/officeDocument/2006/relationships/image" Target="images/formatting.png"/></Relationships>
</file>

<file path=customUI/customUI.xml><?xml version="1.0" encoding="utf-8"?>
<customUI xmlns="http://schemas.microsoft.com/office/2006/01/customui">
  <ribbon>
    <tabs>
      <tab id="customTab" label="CIVIL LAB" insertAfterMso="TabHome">
        <group id="customGroup0" label="Formating Tools">
          <button id="customButton1" label="Advanced Formatting" size="large" onAction="opSSScriptM" image="formatting"/>
          <button id="customButton2" label="Auto Units" size="large" onAction="openunitM" image="units"/>
          <button id="customButton3" label="Group Color" size="large" onAction="opColorGroup" image="GroupColor"/>
        </group>
        <group id="customGroup1" label="Utilization Tools">
          <button id="customButton11" label="Pro Copy/Paste" size="large" onAction="ProcopypastM" image="copypaste2"/>
          <button id="customButton12" label="LevelSum" size="large" onAction="opLevelSum" image="levelsum"/>
        </group>
        <group id="customGroup2" label="EuroCode Tools">
          <button id="customButton21" label="EC Tools" size="large" onAction="opECToolM" image="ECC"/>
        </group>
        <group id="customGroup3" label="Database Tools">
          <button id="customButton31" label="Generate List" size="large" onAction="GenerateListM" image="Lists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CL_Tables</vt:lpstr>
      <vt:lpstr>Quick Deflection Check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Qingjie ZHANG</dc:creator>
  <cp:lastModifiedBy>Qingjie ZHANG</cp:lastModifiedBy>
  <dcterms:created xsi:type="dcterms:W3CDTF">2015-06-05T18:17:20Z</dcterms:created>
  <dcterms:modified xsi:type="dcterms:W3CDTF">2021-10-19T11:54:12Z</dcterms:modified>
</cp:coreProperties>
</file>